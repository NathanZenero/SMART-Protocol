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ink/ink1.xml" ContentType="application/inkml+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d9b59069d9234ace/Desktop/"/>
    </mc:Choice>
  </mc:AlternateContent>
  <xr:revisionPtr revIDLastSave="0" documentId="8_{E7B26D8D-82DE-4BE9-8B62-5B46674ED505}" xr6:coauthVersionLast="47" xr6:coauthVersionMax="47" xr10:uidLastSave="{00000000-0000-0000-0000-000000000000}"/>
  <bookViews>
    <workbookView xWindow="15" yWindow="0" windowWidth="21585" windowHeight="13680" firstSheet="1" activeTab="1" xr2:uid="{366C9636-2CB5-4DE7-837C-E13DA96E32D1}"/>
  </bookViews>
  <sheets>
    <sheet name="Instructions" sheetId="1" r:id="rId1"/>
    <sheet name="MainOverview" sheetId="2" r:id="rId2"/>
    <sheet name="Definitions" sheetId="6" r:id="rId3"/>
    <sheet name="OWell" sheetId="7" state="hidden" r:id="rId4"/>
    <sheet name="ODrilling plan Paramaters" sheetId="8" state="hidden" r:id="rId5"/>
    <sheet name="OWellbore" sheetId="9" state="hidden" r:id="rId6"/>
  </sheets>
  <externalReferences>
    <externalReference r:id="rId7"/>
  </externalReferenc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2" i="2" l="1"/>
  <c r="Z12" i="2" s="1"/>
  <c r="Y13" i="2"/>
  <c r="Z13" i="2" s="1"/>
  <c r="Y14" i="2"/>
  <c r="AA14" i="2" s="1"/>
  <c r="Y15" i="2"/>
  <c r="Z15" i="2" s="1"/>
  <c r="V12" i="2"/>
  <c r="X12" i="2" s="1"/>
  <c r="V13" i="2"/>
  <c r="W13" i="2" s="1"/>
  <c r="V14" i="2"/>
  <c r="X14" i="2" s="1"/>
  <c r="V15" i="2"/>
  <c r="W15" i="2" s="1"/>
  <c r="S12" i="2"/>
  <c r="U12" i="2" s="1"/>
  <c r="S13" i="2"/>
  <c r="T13" i="2" s="1"/>
  <c r="S14" i="2"/>
  <c r="T14" i="2" s="1"/>
  <c r="S15" i="2"/>
  <c r="T15" i="2" s="1"/>
  <c r="Y11" i="2"/>
  <c r="Z11" i="2" s="1"/>
  <c r="V11" i="2"/>
  <c r="W11" i="2" s="1"/>
  <c r="S11" i="2"/>
  <c r="T11" i="2" s="1"/>
  <c r="P12" i="2"/>
  <c r="Q12" i="2" s="1"/>
  <c r="P13" i="2"/>
  <c r="Q13" i="2" s="1"/>
  <c r="P14" i="2"/>
  <c r="Q14" i="2" s="1"/>
  <c r="P15" i="2"/>
  <c r="R15" i="2" s="1"/>
  <c r="P11" i="2"/>
  <c r="R11" i="2" s="1"/>
  <c r="M12" i="2"/>
  <c r="O12" i="2" s="1"/>
  <c r="M13" i="2"/>
  <c r="N13" i="2" s="1"/>
  <c r="M14" i="2"/>
  <c r="N14" i="2" s="1"/>
  <c r="M15" i="2"/>
  <c r="O15" i="2" s="1"/>
  <c r="M11" i="2"/>
  <c r="N11" i="2" s="1"/>
  <c r="J12" i="2"/>
  <c r="K12" i="2" s="1"/>
  <c r="L12" i="2" s="1"/>
  <c r="J13" i="2"/>
  <c r="K13" i="2" s="1"/>
  <c r="L13" i="2" s="1"/>
  <c r="J14" i="2"/>
  <c r="K14" i="2" s="1"/>
  <c r="L14" i="2" s="1"/>
  <c r="J15" i="2"/>
  <c r="K15" i="2" s="1"/>
  <c r="L15" i="2" s="1"/>
  <c r="J11" i="2"/>
  <c r="K11" i="2" s="1"/>
  <c r="L11" i="2" s="1"/>
  <c r="G12" i="2"/>
  <c r="H12" i="2" s="1"/>
  <c r="G13" i="2"/>
  <c r="H13" i="2" s="1"/>
  <c r="G14" i="2"/>
  <c r="H14" i="2" s="1"/>
  <c r="G15" i="2"/>
  <c r="I15" i="2" s="1"/>
  <c r="G11" i="2"/>
  <c r="I11" i="2" s="1"/>
  <c r="F30" i="2"/>
  <c r="C37" i="2"/>
  <c r="Y21" i="8"/>
  <c r="Z21" i="8" s="1"/>
  <c r="X21" i="8"/>
  <c r="W21" i="8"/>
  <c r="U21" i="8"/>
  <c r="V21" i="8" s="1"/>
  <c r="T21" i="8"/>
  <c r="S21" i="8"/>
  <c r="R21" i="8"/>
  <c r="Q21" i="8"/>
  <c r="P21" i="8"/>
  <c r="O21" i="8"/>
  <c r="M21" i="8"/>
  <c r="N21" i="8" s="1"/>
  <c r="L21" i="8"/>
  <c r="K21" i="8"/>
  <c r="I21" i="8"/>
  <c r="J21" i="8" s="1"/>
  <c r="H21" i="8"/>
  <c r="G21" i="8"/>
  <c r="E21" i="8"/>
  <c r="F21" i="8" s="1"/>
  <c r="D21" i="8"/>
  <c r="B21" i="8"/>
  <c r="C21" i="8" s="1"/>
  <c r="A21" i="8"/>
  <c r="Y20" i="8"/>
  <c r="Z20" i="8" s="1"/>
  <c r="X20" i="8"/>
  <c r="W20" i="8"/>
  <c r="U20" i="8"/>
  <c r="V20" i="8" s="1"/>
  <c r="T20" i="8"/>
  <c r="S20" i="8"/>
  <c r="R20" i="8"/>
  <c r="Q20" i="8"/>
  <c r="P20" i="8"/>
  <c r="O20" i="8"/>
  <c r="M20" i="8"/>
  <c r="N20" i="8" s="1"/>
  <c r="L20" i="8"/>
  <c r="K20" i="8"/>
  <c r="I20" i="8"/>
  <c r="J20" i="8" s="1"/>
  <c r="H20" i="8"/>
  <c r="G20" i="8"/>
  <c r="E20" i="8"/>
  <c r="F20" i="8" s="1"/>
  <c r="D20" i="8"/>
  <c r="B20" i="8"/>
  <c r="C20" i="8" s="1"/>
  <c r="A20" i="8"/>
  <c r="Y19" i="8"/>
  <c r="Z19" i="8" s="1"/>
  <c r="X19" i="8"/>
  <c r="W19" i="8"/>
  <c r="U19" i="8"/>
  <c r="V19" i="8" s="1"/>
  <c r="T19" i="8"/>
  <c r="S19" i="8"/>
  <c r="R19" i="8"/>
  <c r="Q19" i="8"/>
  <c r="P19" i="8"/>
  <c r="O19" i="8"/>
  <c r="M19" i="8"/>
  <c r="N19" i="8" s="1"/>
  <c r="L19" i="8"/>
  <c r="K19" i="8"/>
  <c r="I19" i="8"/>
  <c r="J19" i="8" s="1"/>
  <c r="H19" i="8"/>
  <c r="G19" i="8"/>
  <c r="E19" i="8"/>
  <c r="F19" i="8" s="1"/>
  <c r="D19" i="8"/>
  <c r="B19" i="8"/>
  <c r="C19" i="8" s="1"/>
  <c r="A19" i="8"/>
  <c r="Y18" i="8"/>
  <c r="Z18" i="8" s="1"/>
  <c r="X18" i="8"/>
  <c r="W18" i="8"/>
  <c r="U18" i="8"/>
  <c r="V18" i="8" s="1"/>
  <c r="T18" i="8"/>
  <c r="S18" i="8"/>
  <c r="R18" i="8"/>
  <c r="Q18" i="8"/>
  <c r="P18" i="8"/>
  <c r="O18" i="8"/>
  <c r="M18" i="8"/>
  <c r="N18" i="8" s="1"/>
  <c r="L18" i="8"/>
  <c r="K18" i="8"/>
  <c r="I18" i="8"/>
  <c r="J18" i="8" s="1"/>
  <c r="H18" i="8"/>
  <c r="G18" i="8"/>
  <c r="E18" i="8"/>
  <c r="F18" i="8" s="1"/>
  <c r="D18" i="8"/>
  <c r="B18" i="8"/>
  <c r="C18" i="8" s="1"/>
  <c r="A18" i="8"/>
  <c r="Y17" i="8"/>
  <c r="Z17" i="8" s="1"/>
  <c r="X17" i="8"/>
  <c r="W17" i="8"/>
  <c r="U17" i="8"/>
  <c r="V17" i="8" s="1"/>
  <c r="T17" i="8"/>
  <c r="S17" i="8"/>
  <c r="R17" i="8"/>
  <c r="Q17" i="8"/>
  <c r="P17" i="8"/>
  <c r="O17" i="8"/>
  <c r="M17" i="8"/>
  <c r="N17" i="8" s="1"/>
  <c r="L17" i="8"/>
  <c r="K17" i="8"/>
  <c r="I17" i="8"/>
  <c r="J17" i="8" s="1"/>
  <c r="H17" i="8"/>
  <c r="G17" i="8"/>
  <c r="E17" i="8"/>
  <c r="F17" i="8" s="1"/>
  <c r="D17" i="8"/>
  <c r="B17" i="8"/>
  <c r="C17" i="8" s="1"/>
  <c r="A17" i="8"/>
  <c r="Y16" i="8"/>
  <c r="Z16" i="8" s="1"/>
  <c r="X16" i="8"/>
  <c r="W16" i="8"/>
  <c r="U16" i="8"/>
  <c r="V16" i="8" s="1"/>
  <c r="T16" i="8"/>
  <c r="S16" i="8"/>
  <c r="R16" i="8"/>
  <c r="Q16" i="8"/>
  <c r="P16" i="8"/>
  <c r="O16" i="8"/>
  <c r="M16" i="8"/>
  <c r="N16" i="8" s="1"/>
  <c r="L16" i="8"/>
  <c r="K16" i="8"/>
  <c r="I16" i="8"/>
  <c r="J16" i="8" s="1"/>
  <c r="H16" i="8"/>
  <c r="G16" i="8"/>
  <c r="E16" i="8"/>
  <c r="F16" i="8" s="1"/>
  <c r="D16" i="8"/>
  <c r="B16" i="8"/>
  <c r="C16" i="8" s="1"/>
  <c r="A16" i="8"/>
  <c r="Y15" i="8"/>
  <c r="Z15" i="8" s="1"/>
  <c r="X15" i="8"/>
  <c r="W15" i="8"/>
  <c r="U15" i="8"/>
  <c r="V15" i="8" s="1"/>
  <c r="T15" i="8"/>
  <c r="S15" i="8"/>
  <c r="R15" i="8"/>
  <c r="Q15" i="8"/>
  <c r="P15" i="8"/>
  <c r="O15" i="8"/>
  <c r="M15" i="8"/>
  <c r="N15" i="8" s="1"/>
  <c r="L15" i="8"/>
  <c r="K15" i="8"/>
  <c r="I15" i="8"/>
  <c r="J15" i="8" s="1"/>
  <c r="H15" i="8"/>
  <c r="G15" i="8"/>
  <c r="E15" i="8"/>
  <c r="F15" i="8" s="1"/>
  <c r="D15" i="8"/>
  <c r="B15" i="8"/>
  <c r="C15" i="8" s="1"/>
  <c r="A15" i="8"/>
  <c r="Y14" i="8"/>
  <c r="Z14" i="8" s="1"/>
  <c r="X14" i="8"/>
  <c r="W14" i="8"/>
  <c r="U14" i="8"/>
  <c r="V14" i="8" s="1"/>
  <c r="T14" i="8"/>
  <c r="S14" i="8"/>
  <c r="R14" i="8"/>
  <c r="Q14" i="8"/>
  <c r="P14" i="8"/>
  <c r="O14" i="8"/>
  <c r="M14" i="8"/>
  <c r="N14" i="8" s="1"/>
  <c r="L14" i="8"/>
  <c r="K14" i="8"/>
  <c r="I14" i="8"/>
  <c r="J14" i="8" s="1"/>
  <c r="H14" i="8"/>
  <c r="G14" i="8"/>
  <c r="E14" i="8"/>
  <c r="F14" i="8" s="1"/>
  <c r="D14" i="8"/>
  <c r="B14" i="8"/>
  <c r="C14" i="8" s="1"/>
  <c r="A14" i="8"/>
  <c r="Y13" i="8"/>
  <c r="Z13" i="8" s="1"/>
  <c r="X13" i="8"/>
  <c r="W13" i="8"/>
  <c r="U13" i="8"/>
  <c r="V13" i="8" s="1"/>
  <c r="T13" i="8"/>
  <c r="S13" i="8"/>
  <c r="R13" i="8"/>
  <c r="Q13" i="8"/>
  <c r="P13" i="8"/>
  <c r="O13" i="8"/>
  <c r="M13" i="8"/>
  <c r="N13" i="8" s="1"/>
  <c r="L13" i="8"/>
  <c r="K13" i="8"/>
  <c r="I13" i="8"/>
  <c r="J13" i="8" s="1"/>
  <c r="H13" i="8"/>
  <c r="G13" i="8"/>
  <c r="E13" i="8"/>
  <c r="F13" i="8" s="1"/>
  <c r="D13" i="8"/>
  <c r="B13" i="8"/>
  <c r="C13" i="8" s="1"/>
  <c r="A13" i="8"/>
  <c r="Y12" i="8"/>
  <c r="Z12" i="8" s="1"/>
  <c r="X12" i="8"/>
  <c r="W12" i="8"/>
  <c r="U12" i="8"/>
  <c r="V12" i="8" s="1"/>
  <c r="T12" i="8"/>
  <c r="S12" i="8"/>
  <c r="R12" i="8"/>
  <c r="Q12" i="8"/>
  <c r="P12" i="8"/>
  <c r="O12" i="8"/>
  <c r="M12" i="8"/>
  <c r="N12" i="8" s="1"/>
  <c r="L12" i="8"/>
  <c r="K12" i="8"/>
  <c r="I12" i="8"/>
  <c r="J12" i="8" s="1"/>
  <c r="H12" i="8"/>
  <c r="G12" i="8"/>
  <c r="E12" i="8"/>
  <c r="F12" i="8" s="1"/>
  <c r="D12" i="8"/>
  <c r="B12" i="8"/>
  <c r="C12" i="8" s="1"/>
  <c r="A12" i="8"/>
  <c r="Y11" i="8"/>
  <c r="Z11" i="8" s="1"/>
  <c r="X11" i="8"/>
  <c r="W11" i="8"/>
  <c r="U11" i="8"/>
  <c r="V11" i="8" s="1"/>
  <c r="T11" i="8"/>
  <c r="S11" i="8"/>
  <c r="R11" i="8"/>
  <c r="Q11" i="8"/>
  <c r="P11" i="8"/>
  <c r="O11" i="8"/>
  <c r="M11" i="8"/>
  <c r="N11" i="8" s="1"/>
  <c r="L11" i="8"/>
  <c r="K11" i="8"/>
  <c r="I11" i="8"/>
  <c r="J11" i="8" s="1"/>
  <c r="H11" i="8"/>
  <c r="G11" i="8"/>
  <c r="E11" i="8"/>
  <c r="F11" i="8" s="1"/>
  <c r="D11" i="8"/>
  <c r="B11" i="8"/>
  <c r="C11" i="8" s="1"/>
  <c r="A11" i="8"/>
  <c r="Y10" i="8"/>
  <c r="Z10" i="8" s="1"/>
  <c r="X10" i="8"/>
  <c r="W10" i="8"/>
  <c r="U10" i="8"/>
  <c r="V10" i="8" s="1"/>
  <c r="T10" i="8"/>
  <c r="S10" i="8"/>
  <c r="R10" i="8"/>
  <c r="Q10" i="8"/>
  <c r="P10" i="8"/>
  <c r="O10" i="8"/>
  <c r="M10" i="8"/>
  <c r="N10" i="8" s="1"/>
  <c r="L10" i="8"/>
  <c r="K10" i="8"/>
  <c r="I10" i="8"/>
  <c r="J10" i="8" s="1"/>
  <c r="H10" i="8"/>
  <c r="G10" i="8"/>
  <c r="E10" i="8"/>
  <c r="F10" i="8" s="1"/>
  <c r="D10" i="8"/>
  <c r="B10" i="8"/>
  <c r="C10" i="8" s="1"/>
  <c r="A10" i="8"/>
  <c r="Y9" i="8"/>
  <c r="Z9" i="8" s="1"/>
  <c r="X9" i="8"/>
  <c r="W9" i="8"/>
  <c r="U9" i="8"/>
  <c r="V9" i="8" s="1"/>
  <c r="T9" i="8"/>
  <c r="S9" i="8"/>
  <c r="R9" i="8"/>
  <c r="Q9" i="8"/>
  <c r="P9" i="8"/>
  <c r="O9" i="8"/>
  <c r="M9" i="8"/>
  <c r="N9" i="8" s="1"/>
  <c r="L9" i="8"/>
  <c r="K9" i="8"/>
  <c r="I9" i="8"/>
  <c r="J9" i="8" s="1"/>
  <c r="H9" i="8"/>
  <c r="G9" i="8"/>
  <c r="E9" i="8"/>
  <c r="F9" i="8" s="1"/>
  <c r="D9" i="8"/>
  <c r="B9" i="8"/>
  <c r="C9" i="8" s="1"/>
  <c r="A9" i="8"/>
  <c r="Y8" i="8"/>
  <c r="Z8" i="8" s="1"/>
  <c r="X8" i="8"/>
  <c r="W8" i="8"/>
  <c r="U8" i="8"/>
  <c r="V8" i="8" s="1"/>
  <c r="T8" i="8"/>
  <c r="S8" i="8"/>
  <c r="R8" i="8"/>
  <c r="Q8" i="8"/>
  <c r="P8" i="8"/>
  <c r="O8" i="8"/>
  <c r="M8" i="8"/>
  <c r="N8" i="8" s="1"/>
  <c r="L8" i="8"/>
  <c r="K8" i="8"/>
  <c r="I8" i="8"/>
  <c r="J8" i="8" s="1"/>
  <c r="H8" i="8"/>
  <c r="G8" i="8"/>
  <c r="E8" i="8"/>
  <c r="F8" i="8" s="1"/>
  <c r="D8" i="8"/>
  <c r="B8" i="8"/>
  <c r="C8" i="8" s="1"/>
  <c r="A8" i="8"/>
  <c r="Y7" i="8"/>
  <c r="Z7" i="8" s="1"/>
  <c r="X7" i="8"/>
  <c r="W7" i="8"/>
  <c r="U7" i="8"/>
  <c r="V7" i="8" s="1"/>
  <c r="T7" i="8"/>
  <c r="S7" i="8"/>
  <c r="R7" i="8"/>
  <c r="Q7" i="8"/>
  <c r="P7" i="8"/>
  <c r="O7" i="8"/>
  <c r="M7" i="8"/>
  <c r="N7" i="8" s="1"/>
  <c r="L7" i="8"/>
  <c r="K7" i="8"/>
  <c r="I7" i="8"/>
  <c r="J7" i="8" s="1"/>
  <c r="H7" i="8"/>
  <c r="G7" i="8"/>
  <c r="E7" i="8"/>
  <c r="F7" i="8" s="1"/>
  <c r="D7" i="8"/>
  <c r="B7" i="8"/>
  <c r="C7" i="8" s="1"/>
  <c r="A7" i="8"/>
  <c r="Y6" i="8"/>
  <c r="Z6" i="8" s="1"/>
  <c r="X6" i="8"/>
  <c r="W6" i="8"/>
  <c r="U6" i="8"/>
  <c r="V6" i="8" s="1"/>
  <c r="T6" i="8"/>
  <c r="S6" i="8"/>
  <c r="R6" i="8"/>
  <c r="Q6" i="8"/>
  <c r="P6" i="8"/>
  <c r="O6" i="8"/>
  <c r="M6" i="8"/>
  <c r="N6" i="8" s="1"/>
  <c r="L6" i="8"/>
  <c r="K6" i="8"/>
  <c r="I6" i="8"/>
  <c r="J6" i="8" s="1"/>
  <c r="H6" i="8"/>
  <c r="G6" i="8"/>
  <c r="E6" i="8"/>
  <c r="F6" i="8" s="1"/>
  <c r="D6" i="8"/>
  <c r="B6" i="8"/>
  <c r="C6" i="8" s="1"/>
  <c r="A6" i="8"/>
  <c r="Y5" i="8"/>
  <c r="Z5" i="8" s="1"/>
  <c r="X5" i="8"/>
  <c r="W5" i="8"/>
  <c r="U5" i="8"/>
  <c r="V5" i="8" s="1"/>
  <c r="T5" i="8"/>
  <c r="S5" i="8"/>
  <c r="R5" i="8"/>
  <c r="Q5" i="8"/>
  <c r="P5" i="8"/>
  <c r="O5" i="8"/>
  <c r="M5" i="8"/>
  <c r="N5" i="8" s="1"/>
  <c r="L5" i="8"/>
  <c r="K5" i="8"/>
  <c r="I5" i="8"/>
  <c r="J5" i="8" s="1"/>
  <c r="H5" i="8"/>
  <c r="G5" i="8"/>
  <c r="E5" i="8"/>
  <c r="F5" i="8" s="1"/>
  <c r="D5" i="8"/>
  <c r="B5" i="8"/>
  <c r="C5" i="8" s="1"/>
  <c r="A5" i="8"/>
  <c r="Y4" i="8"/>
  <c r="Z4" i="8" s="1"/>
  <c r="X4" i="8"/>
  <c r="W4" i="8"/>
  <c r="U4" i="8"/>
  <c r="V4" i="8" s="1"/>
  <c r="T4" i="8"/>
  <c r="S4" i="8"/>
  <c r="R4" i="8"/>
  <c r="Q4" i="8"/>
  <c r="P4" i="8"/>
  <c r="O4" i="8"/>
  <c r="M4" i="8"/>
  <c r="N4" i="8" s="1"/>
  <c r="L4" i="8"/>
  <c r="K4" i="8"/>
  <c r="I4" i="8"/>
  <c r="J4" i="8" s="1"/>
  <c r="H4" i="8"/>
  <c r="G4" i="8"/>
  <c r="E4" i="8"/>
  <c r="F4" i="8" s="1"/>
  <c r="D4" i="8"/>
  <c r="B4" i="8"/>
  <c r="C4" i="8" s="1"/>
  <c r="A4" i="8"/>
  <c r="Y3" i="8"/>
  <c r="Z3" i="8" s="1"/>
  <c r="X3" i="8"/>
  <c r="W3" i="8"/>
  <c r="U3" i="8"/>
  <c r="V3" i="8" s="1"/>
  <c r="T3" i="8"/>
  <c r="S3" i="8"/>
  <c r="R3" i="8"/>
  <c r="Q3" i="8"/>
  <c r="P3" i="8"/>
  <c r="O3" i="8"/>
  <c r="M3" i="8"/>
  <c r="N3" i="8" s="1"/>
  <c r="L3" i="8"/>
  <c r="K3" i="8"/>
  <c r="I3" i="8"/>
  <c r="J3" i="8" s="1"/>
  <c r="H3" i="8"/>
  <c r="G3" i="8"/>
  <c r="E3" i="8"/>
  <c r="F3" i="8" s="1"/>
  <c r="D3" i="8"/>
  <c r="B3" i="8"/>
  <c r="C3" i="8" s="1"/>
  <c r="A3" i="8"/>
  <c r="Y2" i="8"/>
  <c r="Z2" i="8" s="1"/>
  <c r="X2" i="8"/>
  <c r="W2" i="8"/>
  <c r="U2" i="8"/>
  <c r="V2" i="8" s="1"/>
  <c r="T2" i="8"/>
  <c r="S2" i="8"/>
  <c r="Q2" i="8"/>
  <c r="R2" i="8" s="1"/>
  <c r="P2" i="8"/>
  <c r="O2" i="8"/>
  <c r="M2" i="8"/>
  <c r="N2" i="8" s="1"/>
  <c r="L2" i="8"/>
  <c r="K2" i="8"/>
  <c r="I2" i="8"/>
  <c r="J2" i="8" s="1"/>
  <c r="H2" i="8"/>
  <c r="G2" i="8"/>
  <c r="E2" i="8"/>
  <c r="F2" i="8" s="1"/>
  <c r="D2" i="8"/>
  <c r="B2" i="8"/>
  <c r="C2" i="8" s="1"/>
  <c r="A2" i="8"/>
  <c r="H21" i="9"/>
  <c r="G21" i="9"/>
  <c r="E21" i="9"/>
  <c r="D21" i="9"/>
  <c r="F21" i="9" s="1"/>
  <c r="B21" i="9"/>
  <c r="A21" i="9"/>
  <c r="C21" i="9" s="1"/>
  <c r="H20" i="9"/>
  <c r="G20" i="9"/>
  <c r="E20" i="9"/>
  <c r="D20" i="9"/>
  <c r="F20" i="9" s="1"/>
  <c r="B20" i="9"/>
  <c r="A20" i="9"/>
  <c r="C20" i="9" s="1"/>
  <c r="H19" i="9"/>
  <c r="G19" i="9"/>
  <c r="E19" i="9"/>
  <c r="D19" i="9"/>
  <c r="F19" i="9" s="1"/>
  <c r="B19" i="9"/>
  <c r="A19" i="9"/>
  <c r="C19" i="9" s="1"/>
  <c r="H18" i="9"/>
  <c r="G18" i="9"/>
  <c r="E18" i="9"/>
  <c r="D18" i="9"/>
  <c r="F18" i="9" s="1"/>
  <c r="B18" i="9"/>
  <c r="A18" i="9"/>
  <c r="C18" i="9" s="1"/>
  <c r="H17" i="9"/>
  <c r="G17" i="9"/>
  <c r="E17" i="9"/>
  <c r="D17" i="9"/>
  <c r="F17" i="9" s="1"/>
  <c r="B17" i="9"/>
  <c r="A17" i="9"/>
  <c r="C17" i="9" s="1"/>
  <c r="H16" i="9"/>
  <c r="G16" i="9"/>
  <c r="E16" i="9"/>
  <c r="D16" i="9"/>
  <c r="F16" i="9" s="1"/>
  <c r="B16" i="9"/>
  <c r="A16" i="9"/>
  <c r="C16" i="9" s="1"/>
  <c r="H15" i="9"/>
  <c r="G15" i="9"/>
  <c r="E15" i="9"/>
  <c r="D15" i="9"/>
  <c r="F15" i="9" s="1"/>
  <c r="B15" i="9"/>
  <c r="A15" i="9"/>
  <c r="C15" i="9" s="1"/>
  <c r="H14" i="9"/>
  <c r="G14" i="9"/>
  <c r="E14" i="9"/>
  <c r="D14" i="9"/>
  <c r="F14" i="9" s="1"/>
  <c r="B14" i="9"/>
  <c r="A14" i="9"/>
  <c r="C14" i="9" s="1"/>
  <c r="H13" i="9"/>
  <c r="G13" i="9"/>
  <c r="E13" i="9"/>
  <c r="D13" i="9"/>
  <c r="F13" i="9" s="1"/>
  <c r="B13" i="9"/>
  <c r="A13" i="9"/>
  <c r="C13" i="9" s="1"/>
  <c r="H12" i="9"/>
  <c r="G12" i="9"/>
  <c r="E12" i="9"/>
  <c r="D12" i="9"/>
  <c r="F12" i="9" s="1"/>
  <c r="B12" i="9"/>
  <c r="A12" i="9"/>
  <c r="C12" i="9" s="1"/>
  <c r="H11" i="9"/>
  <c r="G11" i="9"/>
  <c r="E11" i="9"/>
  <c r="D11" i="9"/>
  <c r="F11" i="9" s="1"/>
  <c r="B11" i="9"/>
  <c r="A11" i="9"/>
  <c r="C11" i="9" s="1"/>
  <c r="H10" i="9"/>
  <c r="G10" i="9"/>
  <c r="E10" i="9"/>
  <c r="D10" i="9"/>
  <c r="F10" i="9" s="1"/>
  <c r="B10" i="9"/>
  <c r="A10" i="9"/>
  <c r="C10" i="9" s="1"/>
  <c r="H9" i="9"/>
  <c r="G9" i="9"/>
  <c r="E9" i="9"/>
  <c r="D9" i="9"/>
  <c r="F9" i="9" s="1"/>
  <c r="B9" i="9"/>
  <c r="A9" i="9"/>
  <c r="C9" i="9" s="1"/>
  <c r="H8" i="9"/>
  <c r="G8" i="9"/>
  <c r="E8" i="9"/>
  <c r="D8" i="9"/>
  <c r="F8" i="9" s="1"/>
  <c r="B8" i="9"/>
  <c r="A8" i="9"/>
  <c r="C8" i="9" s="1"/>
  <c r="H7" i="9"/>
  <c r="G7" i="9"/>
  <c r="E7" i="9"/>
  <c r="D7" i="9"/>
  <c r="F7" i="9" s="1"/>
  <c r="B7" i="9"/>
  <c r="A7" i="9"/>
  <c r="C7" i="9" s="1"/>
  <c r="H6" i="9"/>
  <c r="G6" i="9"/>
  <c r="E6" i="9"/>
  <c r="D6" i="9"/>
  <c r="F6" i="9" s="1"/>
  <c r="B6" i="9"/>
  <c r="A6" i="9"/>
  <c r="C6" i="9" s="1"/>
  <c r="H5" i="9"/>
  <c r="G5" i="9"/>
  <c r="E5" i="9"/>
  <c r="D5" i="9"/>
  <c r="F5" i="9" s="1"/>
  <c r="B5" i="9"/>
  <c r="A5" i="9"/>
  <c r="C5" i="9" s="1"/>
  <c r="H4" i="9"/>
  <c r="G4" i="9"/>
  <c r="E4" i="9"/>
  <c r="D4" i="9"/>
  <c r="F4" i="9" s="1"/>
  <c r="B4" i="9"/>
  <c r="A4" i="9"/>
  <c r="C4" i="9" s="1"/>
  <c r="H3" i="9"/>
  <c r="G3" i="9"/>
  <c r="E3" i="9"/>
  <c r="D3" i="9"/>
  <c r="F3" i="9" s="1"/>
  <c r="B3" i="9"/>
  <c r="A3" i="9"/>
  <c r="C3" i="9" s="1"/>
  <c r="H2" i="9"/>
  <c r="G2" i="9"/>
  <c r="E2" i="9"/>
  <c r="D2" i="9"/>
  <c r="F2" i="9" s="1"/>
  <c r="B2" i="9"/>
  <c r="A2" i="9"/>
  <c r="C2" i="9" s="1"/>
  <c r="E2" i="7"/>
  <c r="D2" i="7"/>
  <c r="C2" i="7"/>
  <c r="B2" i="7"/>
  <c r="A2" i="7"/>
  <c r="C59" i="2"/>
  <c r="E37" i="2"/>
  <c r="F59" i="2"/>
  <c r="E59" i="2"/>
  <c r="D59" i="2"/>
  <c r="D30" i="2"/>
  <c r="T12" i="2" l="1"/>
  <c r="W12" i="2"/>
  <c r="AA15" i="2"/>
  <c r="Z14" i="2"/>
  <c r="Q15" i="2"/>
  <c r="X15" i="2"/>
  <c r="W14" i="2"/>
  <c r="AA12" i="2"/>
  <c r="U14" i="2"/>
  <c r="U15" i="2"/>
  <c r="U13" i="2"/>
  <c r="X13" i="2"/>
  <c r="AA13" i="2"/>
  <c r="R14" i="2"/>
  <c r="AA11" i="2"/>
  <c r="X11" i="2"/>
  <c r="U11" i="2"/>
  <c r="N15" i="2"/>
  <c r="R12" i="2"/>
  <c r="O14" i="2"/>
  <c r="R13" i="2"/>
  <c r="N12" i="2"/>
  <c r="Q11" i="2"/>
  <c r="O13" i="2"/>
  <c r="O11" i="2"/>
  <c r="H15" i="2"/>
  <c r="H11" i="2"/>
  <c r="I14" i="2"/>
  <c r="I13" i="2"/>
  <c r="I12" i="2"/>
  <c r="D28" i="2"/>
  <c r="D29" i="2" l="1"/>
  <c r="F28" i="2" l="1"/>
  <c r="F29" i="2" l="1"/>
</calcChain>
</file>

<file path=xl/sharedStrings.xml><?xml version="1.0" encoding="utf-8"?>
<sst xmlns="http://schemas.openxmlformats.org/spreadsheetml/2006/main" count="266" uniqueCount="159">
  <si>
    <t xml:space="preserve">Well Header </t>
  </si>
  <si>
    <t>Send to</t>
  </si>
  <si>
    <t>Units</t>
  </si>
  <si>
    <t>Depth</t>
  </si>
  <si>
    <t>WOB</t>
  </si>
  <si>
    <t>RPM</t>
  </si>
  <si>
    <t>DiffP</t>
  </si>
  <si>
    <t>Torq</t>
  </si>
  <si>
    <t>Flowrate</t>
  </si>
  <si>
    <t>SPP</t>
  </si>
  <si>
    <t>ROP</t>
  </si>
  <si>
    <t>CCS</t>
  </si>
  <si>
    <t>UCS</t>
  </si>
  <si>
    <t>Pore Pressure</t>
  </si>
  <si>
    <t>Fracture Pressure</t>
  </si>
  <si>
    <t>Well name</t>
  </si>
  <si>
    <t>API Number</t>
  </si>
  <si>
    <t>Total Depth</t>
  </si>
  <si>
    <t>Unique Identifier</t>
  </si>
  <si>
    <t>Operator</t>
  </si>
  <si>
    <t>Contractor</t>
  </si>
  <si>
    <t>Rig</t>
  </si>
  <si>
    <t>feet</t>
  </si>
  <si>
    <t>klbs</t>
  </si>
  <si>
    <t>radians per minute</t>
  </si>
  <si>
    <t>psi</t>
  </si>
  <si>
    <t>Nm</t>
  </si>
  <si>
    <t>gpm</t>
  </si>
  <si>
    <t>kpa</t>
  </si>
  <si>
    <t>fph</t>
  </si>
  <si>
    <t>bar</t>
  </si>
  <si>
    <t xml:space="preserve">kpa </t>
  </si>
  <si>
    <t>Euler's Awl's Oils 15-11-15 5H</t>
  </si>
  <si>
    <t>123-2343-234</t>
  </si>
  <si>
    <t>e^(i*pi) oil</t>
  </si>
  <si>
    <t>Ensign</t>
  </si>
  <si>
    <t>meters</t>
  </si>
  <si>
    <t>lbs</t>
  </si>
  <si>
    <t>rpm</t>
  </si>
  <si>
    <t>k-Nm</t>
  </si>
  <si>
    <t>lpm</t>
  </si>
  <si>
    <t>mph</t>
  </si>
  <si>
    <t>kdAN</t>
  </si>
  <si>
    <t>ft-lbs</t>
  </si>
  <si>
    <t>m3/min</t>
  </si>
  <si>
    <t>TASK</t>
  </si>
  <si>
    <t>Rotary Drilling</t>
  </si>
  <si>
    <t>Provide Start and End Depth for Each Interval.   They CANNOT overlap</t>
  </si>
  <si>
    <t xml:space="preserve">   Please provide the control setpoints for each interval.   Not all values are required.</t>
  </si>
  <si>
    <t>LCL</t>
  </si>
  <si>
    <t>Target</t>
  </si>
  <si>
    <t>UCL</t>
  </si>
  <si>
    <t>Measured Depth</t>
  </si>
  <si>
    <t>True Vertical Depth</t>
  </si>
  <si>
    <t>Weight on Bit</t>
  </si>
  <si>
    <t>Surface Rotary RPM</t>
  </si>
  <si>
    <t>Downhole Motor Differential Pressure</t>
  </si>
  <si>
    <t>Surface Rotary Torque</t>
  </si>
  <si>
    <t>Mud Pump Combined Flow Rate</t>
  </si>
  <si>
    <t>Stand Pipe Presure</t>
  </si>
  <si>
    <t>Rate of Penetration</t>
  </si>
  <si>
    <t>UNITS</t>
  </si>
  <si>
    <t>Provide Start and End Depth for Each Interval.   They may Overlap.</t>
  </si>
  <si>
    <t>Please provide detail about each interval.   Not all fields are required.</t>
  </si>
  <si>
    <t>Formation Name</t>
  </si>
  <si>
    <t>Comments</t>
  </si>
  <si>
    <t>Lithology</t>
  </si>
  <si>
    <t>Hazards</t>
  </si>
  <si>
    <t>N/A</t>
  </si>
  <si>
    <t>SURFACE 1</t>
  </si>
  <si>
    <t>Unconsolidated, time drilling required</t>
  </si>
  <si>
    <t>Glacial till</t>
  </si>
  <si>
    <t>LOST CIRCULATION</t>
  </si>
  <si>
    <t>SURFACE 2</t>
  </si>
  <si>
    <t>LAYERED AND AND SHALE SEQUENCES</t>
  </si>
  <si>
    <t>MIXED</t>
  </si>
  <si>
    <t>BLUE FIN SHALE</t>
  </si>
  <si>
    <t>TARGET ZONE</t>
  </si>
  <si>
    <t>SHALE CLASS 6</t>
  </si>
  <si>
    <t>WELLBORE STABILITY, OVERPRESSURE REGIONS, GODZILLA</t>
  </si>
  <si>
    <t>Table 1</t>
  </si>
  <si>
    <t>Well details/ info/Well header</t>
  </si>
  <si>
    <t>Required</t>
  </si>
  <si>
    <t xml:space="preserve">The common name. </t>
  </si>
  <si>
    <t>Pseudo unique identifier provided by the regulator</t>
  </si>
  <si>
    <t>Total depth</t>
  </si>
  <si>
    <t>Total measured depth along the well path.</t>
  </si>
  <si>
    <t>An operators unique database identifier.</t>
  </si>
  <si>
    <t xml:space="preserve">Whoever is responsible for maintenance and construction of the well. </t>
  </si>
  <si>
    <t xml:space="preserve">Shorthand Terms </t>
  </si>
  <si>
    <t xml:space="preserve">LCL </t>
  </si>
  <si>
    <t>Lower Control Limit</t>
  </si>
  <si>
    <t>Upper Control Limit</t>
  </si>
  <si>
    <t>Setpoint</t>
  </si>
  <si>
    <t>A desired value for about which the paramater should vary between minimum and maximum values (e.g. LCL and UCL).</t>
  </si>
  <si>
    <t>Table 2</t>
  </si>
  <si>
    <t>Drilling Paramaters</t>
  </si>
  <si>
    <t>Start Depth (MD)</t>
  </si>
  <si>
    <t>User specified that is consistent with the beginning of the path of the well, or beginning of the wellbore interval, and any section of a well along the well path defined as beginnning and ending depth.</t>
  </si>
  <si>
    <t>End Depth (MD)</t>
  </si>
  <si>
    <t xml:space="preserve">Ending of the wellbore depth interval. </t>
  </si>
  <si>
    <t>Start Depth (TVD)</t>
  </si>
  <si>
    <t xml:space="preserve">True Vertical depth is the vertical depth towards the center of the earth corrected for the defined datum. </t>
  </si>
  <si>
    <t>End Depth (TVD)</t>
  </si>
  <si>
    <t>The force applied to the drill bit, along the vector of the wellpath.</t>
  </si>
  <si>
    <t xml:space="preserve">Surface applied RPM to the drill string, not necessarily the RPM of the drill bit. </t>
  </si>
  <si>
    <t>Differential Pressure (DiffP)</t>
  </si>
  <si>
    <t xml:space="preserve">The change in pressure across a downhole motor or another downhole device which applies power to the drill bit by converting energy from surface pumps. </t>
  </si>
  <si>
    <t>Torq-Torque (Lower control limit)</t>
  </si>
  <si>
    <t xml:space="preserve">Surface applied rotary torque from a top drive, and or kelly etc. At its minimum. </t>
  </si>
  <si>
    <t>Combined influent volumetric rate of all pumps or other devices apply flow and pressure to the drillstring.</t>
  </si>
  <si>
    <t>Stand Pipe Pressure (SPP)</t>
  </si>
  <si>
    <t xml:space="preserve">The pressure measured at the upper terminus of the drill string. Measured usually at the kelly bushing or the top drive. </t>
  </si>
  <si>
    <t>Optional paramater</t>
  </si>
  <si>
    <t>Optional inputs of definition</t>
  </si>
  <si>
    <t xml:space="preserve">The rate of change of measured depth (MD), along the path of the wellbore. </t>
  </si>
  <si>
    <t>Table 3</t>
  </si>
  <si>
    <t>Wellbore</t>
  </si>
  <si>
    <t>Start</t>
  </si>
  <si>
    <t>Defined in Table 2</t>
  </si>
  <si>
    <t>End</t>
  </si>
  <si>
    <t xml:space="preserve">The common geologic name for a collection of lithofacies which represent a depth defined interval in TVD. </t>
  </si>
  <si>
    <t>Welbore</t>
  </si>
  <si>
    <t>Optional inputs of definitions below.</t>
  </si>
  <si>
    <t xml:space="preserve">Text user defined. </t>
  </si>
  <si>
    <t xml:space="preserve">Mineral composition of a rock or a formation. </t>
  </si>
  <si>
    <t>Confined Compressive strength</t>
  </si>
  <si>
    <t xml:space="preserve">Physical property of a rock, the energy required to deform or destroy at the defined depth. </t>
  </si>
  <si>
    <t>Unconfined Compressive strength</t>
  </si>
  <si>
    <t xml:space="preserve">Confined compressive strength at atmospheric pressure. </t>
  </si>
  <si>
    <t>User comments specifically describing potential hazards.</t>
  </si>
  <si>
    <t xml:space="preserve">Pressure within the pore spaces of a rock at a defined depth. </t>
  </si>
  <si>
    <t>Fracture gradient</t>
  </si>
  <si>
    <t>The pressure or stress at which the rock fails and fractures are initiated.</t>
  </si>
  <si>
    <t>Well Name</t>
  </si>
  <si>
    <t>API_Number</t>
  </si>
  <si>
    <t>Total_Depth</t>
  </si>
  <si>
    <t>Unique_Identifier</t>
  </si>
  <si>
    <t>WOB (LCL)</t>
  </si>
  <si>
    <t>WOB Setpoint</t>
  </si>
  <si>
    <t>WOB (UCL)</t>
  </si>
  <si>
    <t>RPM (LCL)</t>
  </si>
  <si>
    <t>RPM Setpoint</t>
  </si>
  <si>
    <t>RPM (UCL)</t>
  </si>
  <si>
    <t>DiffP (LCL)</t>
  </si>
  <si>
    <t>DiffP Setpoint</t>
  </si>
  <si>
    <t>DiffP (UCL)</t>
  </si>
  <si>
    <t>units</t>
  </si>
  <si>
    <t>Torq (LCL)</t>
  </si>
  <si>
    <t>Torq Setpoint</t>
  </si>
  <si>
    <t>Torq (UCL)</t>
  </si>
  <si>
    <t>Flowrate (LCL)</t>
  </si>
  <si>
    <t>Flowrate Setpoint</t>
  </si>
  <si>
    <t>Flowrate (UCL)</t>
  </si>
  <si>
    <t>Start Depth</t>
  </si>
  <si>
    <t>End Depth</t>
  </si>
  <si>
    <t>Formation name</t>
  </si>
  <si>
    <t>comments</t>
  </si>
  <si>
    <t>nzenero@welldrive.com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</si>
</sst>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tint="0.34998626667073579"/>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i/>
      <sz val="9"/>
      <color theme="1"/>
      <name val="Calibri"/>
      <family val="2"/>
      <scheme val="minor"/>
    </font>
    <font>
      <b/>
      <sz val="14"/>
      <color theme="1"/>
      <name val="Calibri"/>
      <family val="2"/>
      <scheme val="minor"/>
    </font>
    <font>
      <b/>
      <i/>
      <sz val="11"/>
      <color rgb="FFFF0000"/>
      <name val="Calibri"/>
      <family val="2"/>
      <scheme val="minor"/>
    </font>
    <font>
      <sz val="9"/>
      <color theme="1"/>
      <name val="Calibri"/>
      <family val="2"/>
      <scheme val="minor"/>
    </font>
    <font>
      <sz val="9"/>
      <color rgb="FF000000"/>
      <name val="Calibri"/>
      <family val="2"/>
      <scheme val="minor"/>
    </font>
    <font>
      <sz val="11"/>
      <name val="Calibri"/>
      <family val="2"/>
      <scheme val="minor"/>
    </font>
    <font>
      <b/>
      <u/>
      <sz val="11"/>
      <color theme="7"/>
      <name val="Calibri"/>
      <family val="2"/>
      <scheme val="minor"/>
    </font>
    <font>
      <b/>
      <sz val="11"/>
      <color rgb="FFC00000"/>
      <name val="Calibri"/>
      <family val="2"/>
      <scheme val="minor"/>
    </font>
    <font>
      <sz val="14"/>
      <color theme="7" tint="0.39997558519241921"/>
      <name val="Calibri"/>
      <family val="2"/>
      <scheme val="minor"/>
    </font>
    <font>
      <sz val="11"/>
      <color theme="2"/>
      <name val="Calibri"/>
      <family val="2"/>
      <scheme val="minor"/>
    </font>
  </fonts>
  <fills count="15">
    <fill>
      <patternFill patternType="none"/>
    </fill>
    <fill>
      <patternFill patternType="gray125"/>
    </fill>
    <fill>
      <patternFill patternType="solid">
        <fgColor theme="5" tint="0.79998168889431442"/>
        <bgColor indexed="64"/>
      </patternFill>
    </fill>
    <fill>
      <patternFill patternType="solid">
        <fgColor theme="1" tint="4.9989318521683403E-2"/>
        <bgColor indexed="64"/>
      </patternFill>
    </fill>
    <fill>
      <patternFill patternType="solid">
        <fgColor theme="4" tint="0.39997558519241921"/>
        <bgColor indexed="64"/>
      </patternFill>
    </fill>
    <fill>
      <patternFill patternType="solid">
        <fgColor rgb="FFFFFF00"/>
        <bgColor indexed="64"/>
      </patternFill>
    </fill>
    <fill>
      <patternFill patternType="solid">
        <fgColor theme="9"/>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1" tint="0.249977111117893"/>
        <bgColor indexed="64"/>
      </patternFill>
    </fill>
    <fill>
      <patternFill patternType="solid">
        <fgColor theme="1"/>
        <bgColor indexed="64"/>
      </patternFill>
    </fill>
    <fill>
      <patternFill patternType="solid">
        <fgColor theme="8" tint="-0.249977111117893"/>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style="thin">
        <color indexed="64"/>
      </right>
      <top style="thin">
        <color theme="0"/>
      </top>
      <bottom/>
      <diagonal/>
    </border>
    <border>
      <left style="thin">
        <color indexed="64"/>
      </left>
      <right/>
      <top style="thin">
        <color theme="0"/>
      </top>
      <bottom/>
      <diagonal/>
    </border>
    <border>
      <left style="thin">
        <color indexed="64"/>
      </left>
      <right style="thin">
        <color indexed="64"/>
      </right>
      <top style="thin">
        <color theme="0"/>
      </top>
      <bottom style="thin">
        <color indexed="64"/>
      </bottom>
      <diagonal/>
    </border>
    <border>
      <left style="thin">
        <color indexed="64"/>
      </left>
      <right style="thin">
        <color theme="0"/>
      </right>
      <top style="thin">
        <color theme="0"/>
      </top>
      <bottom style="thin">
        <color indexed="64"/>
      </bottom>
      <diagonal/>
    </border>
    <border>
      <left style="thin">
        <color theme="0"/>
      </left>
      <right/>
      <top/>
      <bottom style="medium">
        <color indexed="64"/>
      </bottom>
      <diagonal/>
    </border>
    <border>
      <left/>
      <right style="thin">
        <color theme="0"/>
      </right>
      <top style="thin">
        <color indexed="64"/>
      </top>
      <bottom style="medium">
        <color indexed="64"/>
      </bottom>
      <diagonal/>
    </border>
    <border>
      <left style="thin">
        <color theme="0"/>
      </left>
      <right style="thin">
        <color indexed="64"/>
      </right>
      <top style="medium">
        <color indexed="64"/>
      </top>
      <bottom style="medium">
        <color indexed="64"/>
      </bottom>
      <diagonal/>
    </border>
    <border>
      <left/>
      <right style="thin">
        <color theme="0"/>
      </right>
      <top style="medium">
        <color indexed="64"/>
      </top>
      <bottom style="medium">
        <color indexed="64"/>
      </bottom>
      <diagonal/>
    </border>
    <border>
      <left style="thin">
        <color theme="0"/>
      </left>
      <right style="thin">
        <color indexed="64"/>
      </right>
      <top/>
      <bottom style="thin">
        <color indexed="64"/>
      </bottom>
      <diagonal/>
    </border>
    <border>
      <left style="thin">
        <color indexed="64"/>
      </left>
      <right style="thin">
        <color theme="0"/>
      </right>
      <top/>
      <bottom style="thin">
        <color indexed="64"/>
      </bottom>
      <diagonal/>
    </border>
    <border>
      <left style="thin">
        <color theme="0"/>
      </left>
      <right style="thin">
        <color indexed="64"/>
      </right>
      <top style="thin">
        <color indexed="64"/>
      </top>
      <bottom style="thin">
        <color indexed="64"/>
      </bottom>
      <diagonal/>
    </border>
    <border>
      <left style="thin">
        <color theme="0"/>
      </left>
      <right style="thin">
        <color indexed="64"/>
      </right>
      <top style="thin">
        <color indexed="64"/>
      </top>
      <bottom style="thin">
        <color theme="0"/>
      </bottom>
      <diagonal/>
    </border>
    <border>
      <left style="thin">
        <color indexed="64"/>
      </left>
      <right style="thin">
        <color indexed="64"/>
      </right>
      <top/>
      <bottom style="thin">
        <color theme="0"/>
      </bottom>
      <diagonal/>
    </border>
    <border>
      <left style="thin">
        <color indexed="64"/>
      </left>
      <right style="thin">
        <color indexed="64"/>
      </right>
      <top style="thin">
        <color indexed="64"/>
      </top>
      <bottom style="thin">
        <color theme="0"/>
      </bottom>
      <diagonal/>
    </border>
    <border>
      <left style="thin">
        <color indexed="64"/>
      </left>
      <right style="thin">
        <color theme="0"/>
      </right>
      <top/>
      <bottom style="thin">
        <color theme="0"/>
      </bottom>
      <diagonal/>
    </border>
  </borders>
  <cellStyleXfs count="2">
    <xf numFmtId="0" fontId="0" fillId="0" borderId="0"/>
    <xf numFmtId="0" fontId="2" fillId="0" borderId="0" applyNumberFormat="0" applyFill="0" applyBorder="0" applyAlignment="0" applyProtection="0"/>
  </cellStyleXfs>
  <cellXfs count="105">
    <xf numFmtId="0" fontId="0" fillId="0" borderId="0" xfId="0"/>
    <xf numFmtId="0" fontId="0" fillId="2" borderId="0" xfId="0" applyFill="1"/>
    <xf numFmtId="0" fontId="0" fillId="3" borderId="0" xfId="0" applyFill="1"/>
    <xf numFmtId="0" fontId="0" fillId="0" borderId="1" xfId="0" applyBorder="1"/>
    <xf numFmtId="0" fontId="0" fillId="0" borderId="9" xfId="0" applyBorder="1"/>
    <xf numFmtId="0" fontId="0" fillId="0" borderId="11" xfId="0" applyBorder="1"/>
    <xf numFmtId="0" fontId="0" fillId="6" borderId="0" xfId="0" applyFill="1"/>
    <xf numFmtId="0" fontId="0" fillId="2" borderId="12" xfId="0" applyFill="1" applyBorder="1"/>
    <xf numFmtId="0" fontId="0" fillId="6" borderId="1" xfId="0" applyFill="1" applyBorder="1"/>
    <xf numFmtId="0" fontId="0" fillId="5" borderId="1" xfId="0" applyFill="1" applyBorder="1"/>
    <xf numFmtId="0" fontId="0" fillId="8" borderId="0" xfId="0" applyFill="1"/>
    <xf numFmtId="0" fontId="7" fillId="8" borderId="1" xfId="0" applyFont="1" applyFill="1" applyBorder="1" applyAlignment="1" applyProtection="1">
      <alignment horizontal="center" vertical="center" wrapText="1"/>
      <protection locked="0"/>
    </xf>
    <xf numFmtId="0" fontId="7" fillId="10" borderId="1" xfId="0" applyFont="1" applyFill="1" applyBorder="1" applyAlignment="1" applyProtection="1">
      <alignment horizontal="center" vertical="center" wrapText="1"/>
      <protection locked="0"/>
    </xf>
    <xf numFmtId="0" fontId="8" fillId="9" borderId="9"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9" fillId="9" borderId="9" xfId="0" applyFont="1" applyFill="1" applyBorder="1" applyAlignment="1" applyProtection="1">
      <alignment horizontal="center"/>
      <protection locked="0"/>
    </xf>
    <xf numFmtId="0" fontId="8" fillId="9" borderId="9" xfId="0" applyFont="1" applyFill="1" applyBorder="1" applyAlignment="1">
      <alignment horizontal="center"/>
    </xf>
    <xf numFmtId="0" fontId="8" fillId="9" borderId="9" xfId="0" applyFont="1" applyFill="1" applyBorder="1" applyAlignment="1">
      <alignment horizontal="center" vertical="center"/>
    </xf>
    <xf numFmtId="0" fontId="9" fillId="10" borderId="9" xfId="0" applyFont="1" applyFill="1" applyBorder="1" applyAlignment="1">
      <alignment horizontal="center"/>
    </xf>
    <xf numFmtId="0" fontId="9" fillId="8" borderId="9" xfId="0" applyFont="1" applyFill="1" applyBorder="1" applyAlignment="1">
      <alignment horizontal="center"/>
    </xf>
    <xf numFmtId="0" fontId="9" fillId="9" borderId="1" xfId="0" applyFont="1" applyFill="1" applyBorder="1" applyAlignment="1" applyProtection="1">
      <alignment horizontal="center"/>
      <protection locked="0"/>
    </xf>
    <xf numFmtId="0" fontId="9" fillId="10" borderId="1" xfId="0" applyFont="1" applyFill="1" applyBorder="1" applyAlignment="1">
      <alignment horizontal="center" vertical="center"/>
    </xf>
    <xf numFmtId="0" fontId="9" fillId="10" borderId="1" xfId="0" applyFont="1" applyFill="1" applyBorder="1" applyAlignment="1">
      <alignment horizontal="center"/>
    </xf>
    <xf numFmtId="0" fontId="9" fillId="8" borderId="1" xfId="0" applyFont="1" applyFill="1" applyBorder="1" applyAlignment="1">
      <alignment horizontal="center"/>
    </xf>
    <xf numFmtId="0" fontId="8" fillId="9" borderId="1"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8" fillId="8" borderId="1" xfId="0" applyFont="1" applyFill="1" applyBorder="1" applyAlignment="1">
      <alignment horizontal="center" vertical="center" wrapText="1"/>
    </xf>
    <xf numFmtId="0" fontId="0" fillId="13" borderId="0" xfId="0" applyFill="1"/>
    <xf numFmtId="0" fontId="10" fillId="4" borderId="21" xfId="0" applyFont="1" applyFill="1" applyBorder="1" applyAlignment="1">
      <alignment horizontal="center"/>
    </xf>
    <xf numFmtId="0" fontId="10" fillId="4" borderId="21" xfId="0" applyFont="1" applyFill="1" applyBorder="1"/>
    <xf numFmtId="0" fontId="10" fillId="4" borderId="21" xfId="0" applyFont="1" applyFill="1" applyBorder="1" applyProtection="1">
      <protection locked="0"/>
    </xf>
    <xf numFmtId="0" fontId="10" fillId="4" borderId="21" xfId="0" applyFont="1" applyFill="1" applyBorder="1" applyAlignment="1" applyProtection="1">
      <alignment horizontal="center"/>
      <protection locked="0"/>
    </xf>
    <xf numFmtId="0" fontId="0" fillId="13" borderId="0" xfId="0" applyFill="1" applyAlignment="1">
      <alignment horizontal="center" vertical="center"/>
    </xf>
    <xf numFmtId="0" fontId="0" fillId="13" borderId="0" xfId="0" applyFill="1" applyAlignment="1">
      <alignment horizontal="center" vertical="center" wrapText="1"/>
    </xf>
    <xf numFmtId="0" fontId="1" fillId="13" borderId="0" xfId="0" applyFont="1" applyFill="1"/>
    <xf numFmtId="0" fontId="3" fillId="11" borderId="26" xfId="0" applyFont="1" applyFill="1" applyBorder="1" applyAlignment="1">
      <alignment horizontal="center" vertical="center" wrapText="1"/>
    </xf>
    <xf numFmtId="0" fontId="3" fillId="11" borderId="27" xfId="0" applyFont="1" applyFill="1" applyBorder="1" applyAlignment="1">
      <alignment horizontal="center" vertical="center" wrapText="1"/>
    </xf>
    <xf numFmtId="0" fontId="5" fillId="10" borderId="28" xfId="0" applyFont="1" applyFill="1" applyBorder="1" applyAlignment="1">
      <alignment horizontal="center" vertical="center" wrapText="1"/>
    </xf>
    <xf numFmtId="0" fontId="5" fillId="8" borderId="28" xfId="0" applyFont="1" applyFill="1" applyBorder="1" applyAlignment="1">
      <alignment horizontal="center" vertical="center" wrapText="1"/>
    </xf>
    <xf numFmtId="0" fontId="5" fillId="10" borderId="29" xfId="0" applyFont="1" applyFill="1" applyBorder="1" applyAlignment="1">
      <alignment horizontal="center" vertical="center" wrapText="1"/>
    </xf>
    <xf numFmtId="0" fontId="8" fillId="9" borderId="34" xfId="0" applyFont="1" applyFill="1" applyBorder="1" applyAlignment="1">
      <alignment horizontal="center" vertical="center" wrapText="1"/>
    </xf>
    <xf numFmtId="0" fontId="8" fillId="10" borderId="35" xfId="0" applyFont="1" applyFill="1" applyBorder="1" applyAlignment="1">
      <alignment horizontal="center" vertical="center" wrapText="1"/>
    </xf>
    <xf numFmtId="0" fontId="9" fillId="9" borderId="34" xfId="0" applyFont="1" applyFill="1" applyBorder="1" applyAlignment="1" applyProtection="1">
      <alignment horizontal="center"/>
      <protection locked="0"/>
    </xf>
    <xf numFmtId="0" fontId="9" fillId="10" borderId="35" xfId="0" applyFont="1" applyFill="1" applyBorder="1" applyAlignment="1">
      <alignment horizontal="center"/>
    </xf>
    <xf numFmtId="0" fontId="9" fillId="9" borderId="36" xfId="0" applyFont="1" applyFill="1" applyBorder="1" applyAlignment="1" applyProtection="1">
      <alignment horizontal="center"/>
      <protection locked="0"/>
    </xf>
    <xf numFmtId="0" fontId="8" fillId="9" borderId="37" xfId="0" applyFont="1" applyFill="1" applyBorder="1" applyAlignment="1" applyProtection="1">
      <alignment horizontal="center"/>
      <protection locked="0"/>
    </xf>
    <xf numFmtId="0" fontId="8" fillId="9" borderId="38" xfId="0" applyFont="1" applyFill="1" applyBorder="1" applyAlignment="1">
      <alignment horizontal="center"/>
    </xf>
    <xf numFmtId="0" fontId="8" fillId="9" borderId="39" xfId="0" applyFont="1" applyFill="1" applyBorder="1" applyAlignment="1" applyProtection="1">
      <alignment horizontal="center"/>
      <protection locked="0"/>
    </xf>
    <xf numFmtId="0" fontId="9" fillId="10" borderId="39" xfId="0" applyFont="1" applyFill="1" applyBorder="1" applyAlignment="1">
      <alignment horizontal="center" vertical="center"/>
    </xf>
    <xf numFmtId="0" fontId="9" fillId="10" borderId="39" xfId="0" applyFont="1" applyFill="1" applyBorder="1" applyAlignment="1">
      <alignment horizontal="center"/>
    </xf>
    <xf numFmtId="0" fontId="9" fillId="8" borderId="39" xfId="0" applyFont="1" applyFill="1" applyBorder="1" applyAlignment="1">
      <alignment horizontal="center"/>
    </xf>
    <xf numFmtId="0" fontId="9" fillId="10" borderId="38" xfId="0" applyFont="1" applyFill="1" applyBorder="1" applyAlignment="1">
      <alignment horizontal="center"/>
    </xf>
    <xf numFmtId="0" fontId="9" fillId="8" borderId="38" xfId="0" applyFont="1" applyFill="1" applyBorder="1" applyAlignment="1">
      <alignment horizontal="center"/>
    </xf>
    <xf numFmtId="0" fontId="9" fillId="10" borderId="40" xfId="0" applyFont="1" applyFill="1" applyBorder="1" applyAlignment="1">
      <alignment horizontal="center"/>
    </xf>
    <xf numFmtId="0" fontId="13" fillId="3" borderId="0" xfId="0" applyFont="1" applyFill="1"/>
    <xf numFmtId="0" fontId="12" fillId="7" borderId="21" xfId="0" applyFont="1" applyFill="1" applyBorder="1" applyAlignment="1">
      <alignment horizontal="right"/>
    </xf>
    <xf numFmtId="0" fontId="8" fillId="10" borderId="1" xfId="0" applyFont="1" applyFill="1" applyBorder="1" applyAlignment="1" applyProtection="1">
      <alignment horizontal="center" vertical="center" wrapText="1"/>
      <protection locked="0"/>
    </xf>
    <xf numFmtId="0" fontId="8" fillId="8" borderId="1" xfId="0" applyFont="1" applyFill="1" applyBorder="1" applyAlignment="1" applyProtection="1">
      <alignment horizontal="center" vertical="center" wrapText="1"/>
      <protection locked="0"/>
    </xf>
    <xf numFmtId="0" fontId="14" fillId="14" borderId="21" xfId="0" applyFont="1" applyFill="1" applyBorder="1" applyAlignment="1">
      <alignment horizontal="center" vertical="center" wrapText="1"/>
    </xf>
    <xf numFmtId="0" fontId="14" fillId="14" borderId="21" xfId="0" applyFont="1" applyFill="1" applyBorder="1" applyAlignment="1">
      <alignment horizontal="center"/>
    </xf>
    <xf numFmtId="0" fontId="14" fillId="14" borderId="21" xfId="0" applyFont="1" applyFill="1" applyBorder="1"/>
    <xf numFmtId="0" fontId="8" fillId="9" borderId="1" xfId="0" applyFont="1" applyFill="1" applyBorder="1" applyAlignment="1">
      <alignment horizontal="center" vertical="center"/>
    </xf>
    <xf numFmtId="0" fontId="7" fillId="8" borderId="8" xfId="0" applyFont="1" applyFill="1" applyBorder="1" applyAlignment="1" applyProtection="1">
      <alignment horizontal="center" vertical="center" wrapText="1"/>
      <protection locked="0"/>
    </xf>
    <xf numFmtId="0" fontId="7" fillId="8" borderId="6" xfId="0" applyFont="1" applyFill="1" applyBorder="1" applyAlignment="1" applyProtection="1">
      <alignment horizontal="center" vertical="center" wrapText="1"/>
      <protection locked="0"/>
    </xf>
    <xf numFmtId="0" fontId="7" fillId="8" borderId="5" xfId="0" applyFont="1" applyFill="1" applyBorder="1" applyAlignment="1" applyProtection="1">
      <alignment horizontal="center" vertical="center" wrapText="1"/>
      <protection locked="0"/>
    </xf>
    <xf numFmtId="0" fontId="7" fillId="10" borderId="4" xfId="0" applyFont="1" applyFill="1" applyBorder="1" applyAlignment="1" applyProtection="1">
      <alignment horizontal="center" vertical="center" wrapText="1"/>
      <protection locked="0"/>
    </xf>
    <xf numFmtId="0" fontId="7" fillId="10" borderId="6" xfId="0" applyFont="1" applyFill="1" applyBorder="1" applyAlignment="1" applyProtection="1">
      <alignment horizontal="center" vertical="center" wrapText="1"/>
      <protection locked="0"/>
    </xf>
    <xf numFmtId="0" fontId="7" fillId="10" borderId="7" xfId="0" applyFont="1" applyFill="1" applyBorder="1" applyAlignment="1" applyProtection="1">
      <alignment horizontal="center" vertical="center" wrapText="1"/>
      <protection locked="0"/>
    </xf>
    <xf numFmtId="0" fontId="7" fillId="10" borderId="33" xfId="0" applyFont="1" applyFill="1" applyBorder="1" applyAlignment="1" applyProtection="1">
      <alignment horizontal="center" vertical="center" wrapText="1"/>
      <protection locked="0"/>
    </xf>
    <xf numFmtId="0" fontId="0" fillId="13" borderId="0" xfId="0" applyFill="1" applyAlignment="1">
      <alignment horizontal="center"/>
    </xf>
    <xf numFmtId="0" fontId="7" fillId="9" borderId="1" xfId="0" applyFont="1" applyFill="1" applyBorder="1" applyAlignment="1">
      <alignment horizontal="center" vertical="center" wrapText="1"/>
    </xf>
    <xf numFmtId="0" fontId="0" fillId="13" borderId="0" xfId="0" applyFill="1" applyAlignment="1">
      <alignment horizontal="center" vertical="center" wrapText="1"/>
    </xf>
    <xf numFmtId="0" fontId="7" fillId="9" borderId="32" xfId="0" applyFont="1" applyFill="1" applyBorder="1" applyAlignment="1" applyProtection="1">
      <alignment horizontal="center" vertical="center" wrapText="1"/>
      <protection locked="0"/>
    </xf>
    <xf numFmtId="0" fontId="7" fillId="9" borderId="3" xfId="0" applyFont="1" applyFill="1" applyBorder="1" applyAlignment="1" applyProtection="1">
      <alignment horizontal="center" vertical="center" wrapText="1"/>
      <protection locked="0"/>
    </xf>
    <xf numFmtId="0" fontId="7" fillId="9" borderId="4" xfId="0" applyFont="1" applyFill="1" applyBorder="1" applyAlignment="1" applyProtection="1">
      <alignment horizontal="center" vertical="center" wrapText="1"/>
      <protection locked="0"/>
    </xf>
    <xf numFmtId="0" fontId="7" fillId="9" borderId="5" xfId="0" applyFont="1" applyFill="1" applyBorder="1" applyAlignment="1" applyProtection="1">
      <alignment horizontal="center" vertical="center" wrapText="1"/>
      <protection locked="0"/>
    </xf>
    <xf numFmtId="0" fontId="3" fillId="8" borderId="1" xfId="0" applyFont="1" applyFill="1" applyBorder="1" applyAlignment="1">
      <alignment horizontal="center" vertical="center" wrapText="1"/>
    </xf>
    <xf numFmtId="0" fontId="3" fillId="7" borderId="1" xfId="0" applyFont="1" applyFill="1" applyBorder="1" applyAlignment="1">
      <alignment horizontal="center" vertical="center" wrapText="1"/>
    </xf>
    <xf numFmtId="0" fontId="3" fillId="11" borderId="18" xfId="0" applyFont="1" applyFill="1" applyBorder="1" applyAlignment="1">
      <alignment horizontal="center" vertical="center" wrapText="1"/>
    </xf>
    <xf numFmtId="0" fontId="3" fillId="11" borderId="19" xfId="0" applyFont="1" applyFill="1" applyBorder="1" applyAlignment="1">
      <alignment horizontal="center" vertical="center" wrapText="1"/>
    </xf>
    <xf numFmtId="0" fontId="3" fillId="11" borderId="10" xfId="0" applyFont="1" applyFill="1" applyBorder="1" applyAlignment="1">
      <alignment horizontal="center" vertical="center" wrapText="1"/>
    </xf>
    <xf numFmtId="0" fontId="3" fillId="11" borderId="20" xfId="0" applyFont="1" applyFill="1" applyBorder="1" applyAlignment="1">
      <alignment horizontal="center" vertical="center" wrapText="1"/>
    </xf>
    <xf numFmtId="0" fontId="2" fillId="7" borderId="21" xfId="1" applyFill="1" applyBorder="1" applyAlignment="1">
      <alignment horizontal="left"/>
    </xf>
    <xf numFmtId="0" fontId="11" fillId="7" borderId="21" xfId="1" applyFont="1" applyFill="1" applyBorder="1" applyAlignment="1">
      <alignment horizontal="left"/>
    </xf>
    <xf numFmtId="0" fontId="4" fillId="13" borderId="2" xfId="0" applyFont="1" applyFill="1" applyBorder="1" applyAlignment="1">
      <alignment horizontal="center"/>
    </xf>
    <xf numFmtId="0" fontId="4" fillId="12" borderId="22" xfId="0" applyFont="1" applyFill="1" applyBorder="1" applyAlignment="1">
      <alignment horizontal="center"/>
    </xf>
    <xf numFmtId="0" fontId="4" fillId="12" borderId="23" xfId="0" applyFont="1" applyFill="1" applyBorder="1" applyAlignment="1">
      <alignment horizontal="center"/>
    </xf>
    <xf numFmtId="0" fontId="4" fillId="12" borderId="24" xfId="0" applyFont="1" applyFill="1" applyBorder="1" applyAlignment="1">
      <alignment horizontal="center"/>
    </xf>
    <xf numFmtId="0" fontId="4" fillId="12" borderId="22" xfId="0" applyFont="1" applyFill="1" applyBorder="1" applyAlignment="1">
      <alignment horizontal="left"/>
    </xf>
    <xf numFmtId="0" fontId="4" fillId="12" borderId="23" xfId="0" applyFont="1" applyFill="1" applyBorder="1" applyAlignment="1">
      <alignment horizontal="left"/>
    </xf>
    <xf numFmtId="0" fontId="4" fillId="12" borderId="24" xfId="0" applyFont="1" applyFill="1" applyBorder="1" applyAlignment="1">
      <alignment horizontal="left"/>
    </xf>
    <xf numFmtId="0" fontId="13" fillId="3" borderId="0" xfId="0" applyFont="1" applyFill="1" applyAlignment="1">
      <alignment horizontal="left"/>
    </xf>
    <xf numFmtId="0" fontId="3" fillId="11" borderId="25" xfId="0" applyFont="1" applyFill="1" applyBorder="1" applyAlignment="1">
      <alignment horizontal="center" vertical="center" wrapText="1"/>
    </xf>
    <xf numFmtId="0" fontId="3" fillId="11" borderId="26" xfId="0" applyFont="1" applyFill="1" applyBorder="1" applyAlignment="1">
      <alignment horizontal="center" vertical="center" wrapText="1"/>
    </xf>
    <xf numFmtId="0" fontId="6" fillId="8" borderId="13" xfId="0" applyFont="1" applyFill="1" applyBorder="1" applyAlignment="1">
      <alignment horizontal="center" vertical="center" wrapText="1"/>
    </xf>
    <xf numFmtId="0" fontId="6" fillId="8" borderId="14" xfId="0" applyFont="1" applyFill="1" applyBorder="1" applyAlignment="1">
      <alignment horizontal="center" vertical="center" wrapText="1"/>
    </xf>
    <xf numFmtId="0" fontId="6" fillId="8" borderId="15" xfId="0" applyFont="1" applyFill="1" applyBorder="1" applyAlignment="1">
      <alignment horizontal="center" vertical="center" wrapText="1"/>
    </xf>
    <xf numFmtId="0" fontId="6" fillId="7" borderId="13" xfId="0" applyFont="1" applyFill="1" applyBorder="1" applyAlignment="1">
      <alignment horizontal="center" vertical="center" wrapText="1"/>
    </xf>
    <xf numFmtId="0" fontId="6" fillId="7" borderId="14" xfId="0" applyFont="1" applyFill="1" applyBorder="1" applyAlignment="1">
      <alignment horizontal="center" vertical="center" wrapText="1"/>
    </xf>
    <xf numFmtId="0" fontId="6" fillId="7" borderId="31" xfId="0" applyFont="1" applyFill="1" applyBorder="1" applyAlignment="1">
      <alignment horizontal="center" vertical="center" wrapText="1"/>
    </xf>
    <xf numFmtId="0" fontId="6" fillId="11" borderId="30" xfId="0" applyFont="1" applyFill="1" applyBorder="1" applyAlignment="1">
      <alignment horizontal="center" vertical="top" wrapText="1"/>
    </xf>
    <xf numFmtId="0" fontId="6" fillId="11" borderId="17" xfId="0" applyFont="1" applyFill="1" applyBorder="1" applyAlignment="1">
      <alignment horizontal="center" vertical="top" wrapText="1"/>
    </xf>
    <xf numFmtId="0" fontId="6" fillId="11" borderId="16" xfId="0" applyFont="1" applyFill="1" applyBorder="1" applyAlignment="1">
      <alignment horizontal="center" vertical="top" wrapText="1"/>
    </xf>
    <xf numFmtId="0" fontId="6" fillId="7" borderId="15"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colors>
    <mruColors>
      <color rgb="FFFF66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ustomXml" Target="../ink/ink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63500</xdr:colOff>
      <xdr:row>1</xdr:row>
      <xdr:rowOff>120650</xdr:rowOff>
    </xdr:from>
    <xdr:to>
      <xdr:col>15</xdr:col>
      <xdr:colOff>387350</xdr:colOff>
      <xdr:row>23</xdr:row>
      <xdr:rowOff>12700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3500" y="304800"/>
          <a:ext cx="9467850" cy="3943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effectLst/>
              <a:latin typeface="+mn-lt"/>
              <a:ea typeface="+mn-ea"/>
              <a:cs typeface="+mn-cs"/>
            </a:rPr>
            <a:t>IMPORTANT</a:t>
          </a:r>
        </a:p>
        <a:p>
          <a:endParaRPr lang="en-US">
            <a:solidFill>
              <a:srgbClr val="FF0000"/>
            </a:solidFill>
            <a:effectLst/>
          </a:endParaRPr>
        </a:p>
        <a:p>
          <a:r>
            <a:rPr lang="en-US" sz="1100">
              <a:solidFill>
                <a:schemeClr val="dk1"/>
              </a:solidFill>
              <a:effectLst/>
              <a:latin typeface="+mn-lt"/>
              <a:ea typeface="+mn-ea"/>
              <a:cs typeface="+mn-cs"/>
            </a:rPr>
            <a:t>Directions on</a:t>
          </a:r>
          <a:r>
            <a:rPr lang="en-US" sz="1100" baseline="0">
              <a:solidFill>
                <a:schemeClr val="dk1"/>
              </a:solidFill>
              <a:effectLst/>
              <a:latin typeface="+mn-lt"/>
              <a:ea typeface="+mn-ea"/>
              <a:cs typeface="+mn-cs"/>
            </a:rPr>
            <a:t> using the excel sheet below.</a:t>
          </a:r>
          <a:endParaRPr lang="en-US">
            <a:effectLst/>
          </a:endParaRPr>
        </a:p>
        <a:p>
          <a:r>
            <a:rPr lang="en-US" sz="1100" baseline="0">
              <a:solidFill>
                <a:schemeClr val="dk1"/>
              </a:solidFill>
              <a:effectLst/>
              <a:latin typeface="+mn-lt"/>
              <a:ea typeface="+mn-ea"/>
              <a:cs typeface="+mn-cs"/>
            </a:rPr>
            <a:t>BETA EXCEL SHEET NOT TO BE USED COMMEsRCIALLY YET</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r>
            <a:rPr lang="en-US" sz="1100">
              <a:solidFill>
                <a:srgbClr val="FF0000"/>
              </a:solidFill>
              <a:effectLst/>
              <a:latin typeface="+mn-lt"/>
              <a:ea typeface="+mn-ea"/>
              <a:cs typeface="+mn-cs"/>
            </a:rPr>
            <a:t>This sheet includes three tables</a:t>
          </a:r>
          <a:r>
            <a:rPr lang="en-US" sz="1100" baseline="0">
              <a:solidFill>
                <a:srgbClr val="FF0000"/>
              </a:solidFill>
              <a:effectLst/>
              <a:latin typeface="+mn-lt"/>
              <a:ea typeface="+mn-ea"/>
              <a:cs typeface="+mn-cs"/>
            </a:rPr>
            <a:t> that are to be filled out. There is a "definitions" page to understand the terms in the sheet. Some of the MainOverview sheet is locked to reduce errors when using this sheet all data that is needed can be entered though. </a:t>
          </a:r>
        </a:p>
        <a:p>
          <a:endParaRPr lang="en-US" sz="1100" baseline="0">
            <a:solidFill>
              <a:schemeClr val="dk1"/>
            </a:solidFill>
            <a:effectLst/>
            <a:latin typeface="+mn-lt"/>
            <a:ea typeface="+mn-ea"/>
            <a:cs typeface="+mn-cs"/>
          </a:endParaRPr>
        </a:p>
        <a:p>
          <a:r>
            <a:rPr lang="en-US" sz="1100" baseline="0">
              <a:solidFill>
                <a:srgbClr val="00B050"/>
              </a:solidFill>
              <a:effectLst/>
              <a:latin typeface="+mn-lt"/>
              <a:ea typeface="+mn-ea"/>
              <a:cs typeface="+mn-cs"/>
            </a:rPr>
            <a:t>The MainOverview page is the only page that needs to be filled out. </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In the MainOverview page the objective is to gather the drilling prognosis of the well plan. In the MainOverview tab there is yellow areas that are optional. The gray boxes will pull automatically from other cells. The units system works as a drop down menu in order to easily change between units carefully.</a:t>
          </a:r>
          <a:endParaRPr lang="en-US">
            <a:effectLst/>
          </a:endParaRPr>
        </a:p>
        <a:p>
          <a:endParaRPr lang="en-US" sz="1100"/>
        </a:p>
        <a:p>
          <a:endParaRPr lang="en-US" sz="1100"/>
        </a:p>
        <a:p>
          <a:r>
            <a:rPr lang="en-US" sz="1100"/>
            <a:t>This sheet is designed to be easily accessible if you have any comments or suggestions for this</a:t>
          </a:r>
          <a:r>
            <a:rPr lang="en-US" sz="1100" baseline="0"/>
            <a:t> sheet please email nickolas.brown@ensignenergy.com, sathianandan.dharmaselvan@ensignenergy.com and or mark.anderson@ensignenergy.com.</a:t>
          </a:r>
        </a:p>
        <a:p>
          <a:endParaRPr lang="en-US" sz="1100" baseline="0"/>
        </a:p>
        <a:p>
          <a:r>
            <a:rPr lang="en-US" sz="1100" baseline="0"/>
            <a:t>Also there is some error reduction in this sheet that will not allow you to enter things that will not be entered.  </a:t>
          </a:r>
          <a:endParaRPr lang="en-US" sz="1100"/>
        </a:p>
      </xdr:txBody>
    </xdr:sp>
    <xdr:clientData/>
  </xdr:twoCellAnchor>
  <xdr:twoCellAnchor editAs="oneCell">
    <xdr:from>
      <xdr:col>8</xdr:col>
      <xdr:colOff>400050</xdr:colOff>
      <xdr:row>1</xdr:row>
      <xdr:rowOff>114300</xdr:rowOff>
    </xdr:from>
    <xdr:to>
      <xdr:col>15</xdr:col>
      <xdr:colOff>141225</xdr:colOff>
      <xdr:row>5</xdr:row>
      <xdr:rowOff>123875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276850" y="298450"/>
          <a:ext cx="4008375" cy="746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329693</xdr:colOff>
      <xdr:row>12</xdr:row>
      <xdr:rowOff>154414</xdr:rowOff>
    </xdr:from>
    <xdr:to>
      <xdr:col>1</xdr:col>
      <xdr:colOff>382745</xdr:colOff>
      <xdr:row>28</xdr:row>
      <xdr:rowOff>141795</xdr:rowOff>
    </xdr:to>
    <xdr:sp macro="" textlink="">
      <xdr:nvSpPr>
        <xdr:cNvPr id="4" name="Arrow: Striped Right 3">
          <a:extLst>
            <a:ext uri="{FF2B5EF4-FFF2-40B4-BE49-F238E27FC236}">
              <a16:creationId xmlns:a16="http://schemas.microsoft.com/office/drawing/2014/main" id="{00000000-0008-0000-0100-000004000000}"/>
            </a:ext>
          </a:extLst>
        </xdr:cNvPr>
        <xdr:cNvSpPr/>
      </xdr:nvSpPr>
      <xdr:spPr>
        <a:xfrm rot="5400000">
          <a:off x="-761422" y="3655354"/>
          <a:ext cx="2882981" cy="700752"/>
        </a:xfrm>
        <a:prstGeom prst="stripedRightArrow">
          <a:avLst/>
        </a:prstGeom>
        <a:gradFill>
          <a:gsLst>
            <a:gs pos="0">
              <a:schemeClr val="accent5">
                <a:lumMod val="75000"/>
              </a:schemeClr>
            </a:gs>
            <a:gs pos="100000">
              <a:schemeClr val="accent5">
                <a:lumMod val="75000"/>
              </a:schemeClr>
            </a:gs>
          </a:gsLst>
        </a:gra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147639</xdr:colOff>
      <xdr:row>0</xdr:row>
      <xdr:rowOff>90488</xdr:rowOff>
    </xdr:from>
    <xdr:to>
      <xdr:col>1</xdr:col>
      <xdr:colOff>449262</xdr:colOff>
      <xdr:row>1</xdr:row>
      <xdr:rowOff>162734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147639" y="90488"/>
          <a:ext cx="947738" cy="251636"/>
        </a:xfrm>
        <a:prstGeom prst="rect">
          <a:avLst/>
        </a:prstGeom>
      </xdr:spPr>
    </xdr:pic>
    <xdr:clientData/>
  </xdr:twoCellAnchor>
  <xdr:twoCellAnchor>
    <xdr:from>
      <xdr:col>0</xdr:col>
      <xdr:colOff>348267</xdr:colOff>
      <xdr:row>2</xdr:row>
      <xdr:rowOff>106168</xdr:rowOff>
    </xdr:from>
    <xdr:to>
      <xdr:col>1</xdr:col>
      <xdr:colOff>206139</xdr:colOff>
      <xdr:row>5</xdr:row>
      <xdr:rowOff>1858</xdr:rowOff>
    </xdr:to>
    <xdr:pic macro="[0]!meowdy">
      <xdr:nvPicPr>
        <xdr:cNvPr id="6" name="Picture 5">
          <a:extLst>
            <a:ext uri="{FF2B5EF4-FFF2-40B4-BE49-F238E27FC236}">
              <a16:creationId xmlns:a16="http://schemas.microsoft.com/office/drawing/2014/main" id="{30C20E9B-5A11-8428-FCD8-8EED09FFCE7A}"/>
            </a:ext>
          </a:extLst>
        </xdr:cNvPr>
        <xdr:cNvPicPr>
          <a:picLocks noChangeAspect="1"/>
        </xdr:cNvPicPr>
      </xdr:nvPicPr>
      <xdr:blipFill rotWithShape="1">
        <a:blip xmlns:r="http://schemas.openxmlformats.org/officeDocument/2006/relationships" r:embed="rId2"/>
        <a:srcRect t="7496" b="5785"/>
        <a:stretch/>
      </xdr:blipFill>
      <xdr:spPr>
        <a:xfrm>
          <a:off x="348267" y="468118"/>
          <a:ext cx="505572" cy="438615"/>
        </a:xfrm>
        <a:prstGeom prst="rect">
          <a:avLst/>
        </a:prstGeom>
      </xdr:spPr>
    </xdr:pic>
    <xdr:clientData/>
  </xdr:twoCellAnchor>
  <xdr:twoCellAnchor>
    <xdr:from>
      <xdr:col>0</xdr:col>
      <xdr:colOff>180975</xdr:colOff>
      <xdr:row>5</xdr:row>
      <xdr:rowOff>9525</xdr:rowOff>
    </xdr:from>
    <xdr:to>
      <xdr:col>1</xdr:col>
      <xdr:colOff>381001</xdr:colOff>
      <xdr:row>6</xdr:row>
      <xdr:rowOff>76200</xdr:rowOff>
    </xdr:to>
    <xdr:sp macro="" textlink="">
      <xdr:nvSpPr>
        <xdr:cNvPr id="9" name="TextBox 8">
          <a:extLst>
            <a:ext uri="{FF2B5EF4-FFF2-40B4-BE49-F238E27FC236}">
              <a16:creationId xmlns:a16="http://schemas.microsoft.com/office/drawing/2014/main" id="{6D47A31B-ADB4-74EF-B57A-2E515AEA9040}"/>
            </a:ext>
          </a:extLst>
        </xdr:cNvPr>
        <xdr:cNvSpPr txBox="1"/>
      </xdr:nvSpPr>
      <xdr:spPr>
        <a:xfrm>
          <a:off x="180975" y="914400"/>
          <a:ext cx="847726" cy="295275"/>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00">
              <a:solidFill>
                <a:schemeClr val="bg1"/>
              </a:solidFill>
            </a:rPr>
            <a:t>Sen</a:t>
          </a:r>
          <a:r>
            <a:rPr lang="en-US" sz="700" baseline="0">
              <a:solidFill>
                <a:schemeClr val="bg1"/>
              </a:solidFill>
            </a:rPr>
            <a:t>d to Welldrive</a:t>
          </a:r>
          <a:endParaRPr lang="en-US" sz="700">
            <a:solidFill>
              <a:schemeClr val="bg1"/>
            </a:solidFill>
          </a:endParaRPr>
        </a:p>
      </xdr:txBody>
    </xdr:sp>
    <xdr:clientData/>
  </xdr:twoCellAnchor>
  <xdr:twoCellAnchor editAs="oneCell">
    <xdr:from>
      <xdr:col>2</xdr:col>
      <xdr:colOff>146925</xdr:colOff>
      <xdr:row>0</xdr:row>
      <xdr:rowOff>29160</xdr:rowOff>
    </xdr:from>
    <xdr:to>
      <xdr:col>3</xdr:col>
      <xdr:colOff>29672</xdr:colOff>
      <xdr:row>2</xdr:row>
      <xdr:rowOff>1519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6" name="Ink 25">
              <a:extLst>
                <a:ext uri="{FF2B5EF4-FFF2-40B4-BE49-F238E27FC236}">
                  <a16:creationId xmlns:a16="http://schemas.microsoft.com/office/drawing/2014/main" id="{61557FC6-A53C-96C2-907F-2A79574853BB}"/>
                </a:ext>
              </a:extLst>
            </xdr14:cNvPr>
            <xdr14:cNvContentPartPr/>
          </xdr14:nvContentPartPr>
          <xdr14:nvPr macro=""/>
          <xdr14:xfrm>
            <a:off x="1432800" y="29160"/>
            <a:ext cx="1857600" cy="327960"/>
          </xdr14:xfrm>
        </xdr:contentPart>
      </mc:Choice>
      <mc:Fallback xmlns="">
        <xdr:pic>
          <xdr:nvPicPr>
            <xdr:cNvPr id="26" name="Ink 25">
              <a:extLst>
                <a:ext uri="{FF2B5EF4-FFF2-40B4-BE49-F238E27FC236}">
                  <a16:creationId xmlns:a16="http://schemas.microsoft.com/office/drawing/2014/main" id="{61557FC6-A53C-96C2-907F-2A79574853BB}"/>
                </a:ext>
              </a:extLst>
            </xdr:cNvPr>
            <xdr:cNvPicPr/>
          </xdr:nvPicPr>
          <xdr:blipFill>
            <a:blip xmlns:r="http://schemas.openxmlformats.org/officeDocument/2006/relationships" r:embed="rId4"/>
            <a:stretch>
              <a:fillRect/>
            </a:stretch>
          </xdr:blipFill>
          <xdr:spPr>
            <a:xfrm>
              <a:off x="1426680" y="23033"/>
              <a:ext cx="1869840" cy="340213"/>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2003892</xdr:colOff>
      <xdr:row>4</xdr:row>
      <xdr:rowOff>9575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0"/>
          <a:ext cx="4008375" cy="7461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ickolas.brown\Desktop\Newest%20excel\Updated%20Paramaters%20Sheet\STUPID2.1.xlsx" TargetMode="External"/><Relationship Id="rId1" Type="http://schemas.openxmlformats.org/officeDocument/2006/relationships/externalLinkPath" Target="file:///C:\Users\nickolas.brown\OneDrive%20-%20Ensign%20Energy%20Services%20Inc\Desktop\Newest%20excel\Updated%20Paramaters%20Sheet\STUPID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MainOverview"/>
      <sheetName val="Definition's"/>
      <sheetName val="Well"/>
      <sheetName val="Drilling_plan_paramaters"/>
      <sheetName val="Wellbore"/>
      <sheetName val="OWell"/>
      <sheetName val="ODrilling_paramaters"/>
      <sheetName val="OWellbore"/>
      <sheetName val="Definitions"/>
      <sheetName val="Notes"/>
    </sheetNames>
    <sheetDataSet>
      <sheetData sheetId="0"/>
      <sheetData sheetId="1">
        <row r="4">
          <cell r="C4" t="str">
            <v>Jones</v>
          </cell>
          <cell r="D4">
            <v>123459</v>
          </cell>
          <cell r="E4">
            <v>7000</v>
          </cell>
          <cell r="F4">
            <v>8.1</v>
          </cell>
          <cell r="G4" t="str">
            <v>Hess</v>
          </cell>
        </row>
        <row r="10">
          <cell r="C10" t="str">
            <v>meters</v>
          </cell>
          <cell r="E10" t="str">
            <v>feet</v>
          </cell>
          <cell r="G10" t="str">
            <v>lbs</v>
          </cell>
          <cell r="J10" t="str">
            <v>rpm</v>
          </cell>
          <cell r="M10" t="str">
            <v>kpa</v>
          </cell>
          <cell r="P10" t="str">
            <v>Nm</v>
          </cell>
          <cell r="S10" t="str">
            <v>m3/min</v>
          </cell>
        </row>
        <row r="12">
          <cell r="C12">
            <v>2500</v>
          </cell>
          <cell r="D12" t="str">
            <v>5</v>
          </cell>
          <cell r="E12">
            <v>5</v>
          </cell>
          <cell r="F12" t="str">
            <v>5</v>
          </cell>
          <cell r="G12">
            <v>5</v>
          </cell>
          <cell r="H12">
            <v>5</v>
          </cell>
          <cell r="I12">
            <v>5</v>
          </cell>
          <cell r="J12">
            <v>5</v>
          </cell>
          <cell r="K12">
            <v>5</v>
          </cell>
          <cell r="L12">
            <v>5</v>
          </cell>
          <cell r="M12">
            <v>5</v>
          </cell>
          <cell r="N12">
            <v>5</v>
          </cell>
          <cell r="O12">
            <v>5</v>
          </cell>
          <cell r="P12">
            <v>5</v>
          </cell>
          <cell r="Q12">
            <v>5</v>
          </cell>
          <cell r="S12">
            <v>5</v>
          </cell>
          <cell r="T12">
            <v>5</v>
          </cell>
          <cell r="U12">
            <v>5</v>
          </cell>
        </row>
        <row r="13">
          <cell r="C13">
            <v>5</v>
          </cell>
          <cell r="D13" t="str">
            <v>5</v>
          </cell>
          <cell r="E13">
            <v>5</v>
          </cell>
          <cell r="F13">
            <v>50</v>
          </cell>
          <cell r="G13">
            <v>5</v>
          </cell>
          <cell r="H13">
            <v>5</v>
          </cell>
          <cell r="I13">
            <v>5</v>
          </cell>
          <cell r="J13">
            <v>5</v>
          </cell>
          <cell r="K13">
            <v>5</v>
          </cell>
          <cell r="L13">
            <v>5</v>
          </cell>
          <cell r="M13">
            <v>5</v>
          </cell>
          <cell r="N13">
            <v>5</v>
          </cell>
          <cell r="O13">
            <v>5</v>
          </cell>
          <cell r="P13">
            <v>5</v>
          </cell>
          <cell r="Q13">
            <v>5</v>
          </cell>
          <cell r="S13">
            <v>5</v>
          </cell>
          <cell r="T13">
            <v>5</v>
          </cell>
          <cell r="U13">
            <v>5</v>
          </cell>
        </row>
        <row r="14">
          <cell r="C14">
            <v>5</v>
          </cell>
          <cell r="D14" t="str">
            <v>5</v>
          </cell>
          <cell r="E14">
            <v>5</v>
          </cell>
          <cell r="F14" t="str">
            <v>5</v>
          </cell>
          <cell r="G14">
            <v>5</v>
          </cell>
          <cell r="H14">
            <v>5</v>
          </cell>
          <cell r="I14">
            <v>5</v>
          </cell>
          <cell r="J14">
            <v>5</v>
          </cell>
          <cell r="K14">
            <v>5</v>
          </cell>
          <cell r="L14">
            <v>5</v>
          </cell>
          <cell r="M14">
            <v>5</v>
          </cell>
          <cell r="N14">
            <v>5</v>
          </cell>
          <cell r="O14">
            <v>5</v>
          </cell>
          <cell r="P14">
            <v>5</v>
          </cell>
          <cell r="Q14">
            <v>5</v>
          </cell>
          <cell r="S14">
            <v>5</v>
          </cell>
          <cell r="T14">
            <v>5</v>
          </cell>
          <cell r="U14">
            <v>5</v>
          </cell>
        </row>
        <row r="15">
          <cell r="C15">
            <v>5</v>
          </cell>
          <cell r="D15" t="str">
            <v>5</v>
          </cell>
          <cell r="E15">
            <v>5</v>
          </cell>
          <cell r="F15" t="str">
            <v>5</v>
          </cell>
          <cell r="G15">
            <v>5</v>
          </cell>
          <cell r="H15">
            <v>5</v>
          </cell>
          <cell r="I15">
            <v>5</v>
          </cell>
          <cell r="J15">
            <v>5</v>
          </cell>
          <cell r="K15">
            <v>5</v>
          </cell>
          <cell r="L15">
            <v>5</v>
          </cell>
          <cell r="M15">
            <v>5</v>
          </cell>
          <cell r="N15">
            <v>5</v>
          </cell>
          <cell r="O15">
            <v>5</v>
          </cell>
          <cell r="P15">
            <v>5</v>
          </cell>
          <cell r="Q15">
            <v>5</v>
          </cell>
          <cell r="S15">
            <v>5</v>
          </cell>
          <cell r="T15">
            <v>5</v>
          </cell>
          <cell r="U15">
            <v>5</v>
          </cell>
        </row>
        <row r="16">
          <cell r="C16">
            <v>5</v>
          </cell>
          <cell r="D16" t="str">
            <v>6</v>
          </cell>
          <cell r="E16">
            <v>5</v>
          </cell>
          <cell r="F16" t="str">
            <v>5</v>
          </cell>
          <cell r="G16">
            <v>5</v>
          </cell>
          <cell r="H16">
            <v>5</v>
          </cell>
          <cell r="I16">
            <v>5</v>
          </cell>
          <cell r="J16">
            <v>5</v>
          </cell>
          <cell r="K16">
            <v>5</v>
          </cell>
          <cell r="L16">
            <v>5</v>
          </cell>
          <cell r="M16">
            <v>5</v>
          </cell>
          <cell r="N16">
            <v>5</v>
          </cell>
          <cell r="O16">
            <v>5</v>
          </cell>
          <cell r="P16">
            <v>5</v>
          </cell>
          <cell r="Q16">
            <v>5</v>
          </cell>
          <cell r="S16">
            <v>5</v>
          </cell>
          <cell r="T16">
            <v>5</v>
          </cell>
          <cell r="U16">
            <v>5</v>
          </cell>
        </row>
        <row r="17">
          <cell r="C17">
            <v>6</v>
          </cell>
          <cell r="D17" t="str">
            <v>5</v>
          </cell>
          <cell r="E17">
            <v>5</v>
          </cell>
          <cell r="F17" t="str">
            <v>5</v>
          </cell>
          <cell r="G17">
            <v>5</v>
          </cell>
          <cell r="H17">
            <v>5</v>
          </cell>
          <cell r="I17">
            <v>5</v>
          </cell>
          <cell r="J17">
            <v>5</v>
          </cell>
          <cell r="K17">
            <v>5</v>
          </cell>
          <cell r="L17">
            <v>5</v>
          </cell>
          <cell r="M17">
            <v>5</v>
          </cell>
          <cell r="N17">
            <v>5</v>
          </cell>
          <cell r="O17">
            <v>5</v>
          </cell>
          <cell r="P17">
            <v>5</v>
          </cell>
          <cell r="Q17">
            <v>5</v>
          </cell>
          <cell r="S17">
            <v>5</v>
          </cell>
          <cell r="T17">
            <v>5</v>
          </cell>
          <cell r="U17">
            <v>5</v>
          </cell>
        </row>
        <row r="18">
          <cell r="C18">
            <v>5</v>
          </cell>
          <cell r="D18" t="str">
            <v>5</v>
          </cell>
          <cell r="E18">
            <v>5</v>
          </cell>
          <cell r="F18" t="str">
            <v>5</v>
          </cell>
          <cell r="G18">
            <v>5</v>
          </cell>
          <cell r="H18">
            <v>5</v>
          </cell>
          <cell r="I18">
            <v>5</v>
          </cell>
          <cell r="J18">
            <v>5</v>
          </cell>
          <cell r="K18">
            <v>5</v>
          </cell>
          <cell r="L18">
            <v>5</v>
          </cell>
          <cell r="M18">
            <v>5</v>
          </cell>
          <cell r="N18">
            <v>5</v>
          </cell>
          <cell r="O18">
            <v>5</v>
          </cell>
          <cell r="P18">
            <v>5</v>
          </cell>
          <cell r="Q18">
            <v>5</v>
          </cell>
          <cell r="S18">
            <v>5</v>
          </cell>
          <cell r="T18">
            <v>5</v>
          </cell>
          <cell r="U18">
            <v>5</v>
          </cell>
        </row>
        <row r="19">
          <cell r="C19">
            <v>5</v>
          </cell>
          <cell r="D19" t="str">
            <v>5</v>
          </cell>
          <cell r="E19">
            <v>5</v>
          </cell>
          <cell r="F19" t="str">
            <v>5</v>
          </cell>
          <cell r="G19">
            <v>5</v>
          </cell>
          <cell r="H19">
            <v>5</v>
          </cell>
          <cell r="I19">
            <v>5</v>
          </cell>
          <cell r="J19">
            <v>5</v>
          </cell>
          <cell r="K19">
            <v>5</v>
          </cell>
          <cell r="L19">
            <v>5</v>
          </cell>
          <cell r="M19">
            <v>5</v>
          </cell>
          <cell r="N19">
            <v>5</v>
          </cell>
          <cell r="O19">
            <v>5</v>
          </cell>
          <cell r="P19">
            <v>5</v>
          </cell>
          <cell r="Q19">
            <v>5</v>
          </cell>
          <cell r="S19">
            <v>5</v>
          </cell>
          <cell r="T19">
            <v>5</v>
          </cell>
          <cell r="U19">
            <v>5</v>
          </cell>
        </row>
        <row r="20">
          <cell r="C20">
            <v>5</v>
          </cell>
          <cell r="D20" t="str">
            <v>5</v>
          </cell>
          <cell r="E20">
            <v>5</v>
          </cell>
          <cell r="F20" t="str">
            <v>5</v>
          </cell>
          <cell r="G20">
            <v>5</v>
          </cell>
          <cell r="H20">
            <v>5</v>
          </cell>
          <cell r="I20">
            <v>5</v>
          </cell>
          <cell r="J20">
            <v>5</v>
          </cell>
          <cell r="K20">
            <v>5</v>
          </cell>
          <cell r="L20">
            <v>5</v>
          </cell>
          <cell r="M20">
            <v>5</v>
          </cell>
          <cell r="N20">
            <v>5</v>
          </cell>
          <cell r="O20">
            <v>5</v>
          </cell>
          <cell r="P20">
            <v>5</v>
          </cell>
          <cell r="Q20">
            <v>5</v>
          </cell>
          <cell r="S20">
            <v>5</v>
          </cell>
          <cell r="T20">
            <v>5</v>
          </cell>
          <cell r="U20">
            <v>5</v>
          </cell>
        </row>
        <row r="21">
          <cell r="C21">
            <v>5</v>
          </cell>
          <cell r="D21" t="str">
            <v>5</v>
          </cell>
          <cell r="E21">
            <v>5</v>
          </cell>
          <cell r="F21" t="str">
            <v>5</v>
          </cell>
          <cell r="G21">
            <v>5</v>
          </cell>
          <cell r="H21">
            <v>5</v>
          </cell>
          <cell r="I21">
            <v>5</v>
          </cell>
          <cell r="J21">
            <v>5</v>
          </cell>
          <cell r="K21">
            <v>5</v>
          </cell>
          <cell r="L21">
            <v>5</v>
          </cell>
          <cell r="M21">
            <v>5</v>
          </cell>
          <cell r="N21">
            <v>5</v>
          </cell>
          <cell r="O21">
            <v>5</v>
          </cell>
          <cell r="P21">
            <v>5</v>
          </cell>
          <cell r="Q21">
            <v>5</v>
          </cell>
          <cell r="S21">
            <v>5</v>
          </cell>
          <cell r="T21">
            <v>5</v>
          </cell>
          <cell r="U21">
            <v>5</v>
          </cell>
        </row>
        <row r="22">
          <cell r="C22">
            <v>5</v>
          </cell>
          <cell r="D22" t="str">
            <v>5</v>
          </cell>
          <cell r="E22">
            <v>5</v>
          </cell>
          <cell r="F22" t="str">
            <v>5</v>
          </cell>
          <cell r="G22">
            <v>5</v>
          </cell>
          <cell r="H22">
            <v>5</v>
          </cell>
          <cell r="I22">
            <v>5</v>
          </cell>
          <cell r="J22">
            <v>5</v>
          </cell>
          <cell r="K22">
            <v>5</v>
          </cell>
          <cell r="L22">
            <v>5</v>
          </cell>
          <cell r="M22">
            <v>5</v>
          </cell>
          <cell r="N22">
            <v>5</v>
          </cell>
          <cell r="O22">
            <v>5</v>
          </cell>
          <cell r="P22">
            <v>5</v>
          </cell>
          <cell r="Q22">
            <v>5</v>
          </cell>
          <cell r="S22">
            <v>5</v>
          </cell>
          <cell r="T22">
            <v>5</v>
          </cell>
          <cell r="U22">
            <v>5</v>
          </cell>
        </row>
        <row r="23">
          <cell r="C23">
            <v>5</v>
          </cell>
          <cell r="D23" t="str">
            <v>5</v>
          </cell>
          <cell r="E23">
            <v>5</v>
          </cell>
          <cell r="F23" t="str">
            <v>5</v>
          </cell>
          <cell r="G23">
            <v>5</v>
          </cell>
          <cell r="H23">
            <v>5</v>
          </cell>
          <cell r="I23">
            <v>5</v>
          </cell>
          <cell r="J23">
            <v>5</v>
          </cell>
          <cell r="K23">
            <v>5</v>
          </cell>
          <cell r="L23">
            <v>5</v>
          </cell>
          <cell r="M23">
            <v>5</v>
          </cell>
          <cell r="N23">
            <v>5</v>
          </cell>
          <cell r="O23">
            <v>5</v>
          </cell>
          <cell r="P23">
            <v>5</v>
          </cell>
          <cell r="Q23">
            <v>5</v>
          </cell>
          <cell r="S23">
            <v>5</v>
          </cell>
          <cell r="T23">
            <v>5</v>
          </cell>
          <cell r="U23">
            <v>5</v>
          </cell>
        </row>
        <row r="24">
          <cell r="C24">
            <v>5</v>
          </cell>
          <cell r="D24" t="str">
            <v>5</v>
          </cell>
          <cell r="E24">
            <v>5</v>
          </cell>
          <cell r="F24" t="str">
            <v>5</v>
          </cell>
          <cell r="G24">
            <v>5</v>
          </cell>
          <cell r="H24">
            <v>5</v>
          </cell>
          <cell r="I24">
            <v>5</v>
          </cell>
          <cell r="J24">
            <v>5</v>
          </cell>
          <cell r="K24">
            <v>5</v>
          </cell>
          <cell r="L24">
            <v>5</v>
          </cell>
          <cell r="M24">
            <v>5</v>
          </cell>
          <cell r="N24">
            <v>5</v>
          </cell>
          <cell r="O24">
            <v>5</v>
          </cell>
          <cell r="P24">
            <v>5</v>
          </cell>
          <cell r="Q24">
            <v>5</v>
          </cell>
          <cell r="S24">
            <v>5</v>
          </cell>
          <cell r="T24">
            <v>5</v>
          </cell>
          <cell r="U24">
            <v>5</v>
          </cell>
        </row>
        <row r="25">
          <cell r="C25">
            <v>5</v>
          </cell>
          <cell r="D25" t="str">
            <v>5</v>
          </cell>
          <cell r="E25">
            <v>5</v>
          </cell>
          <cell r="F25" t="str">
            <v>5</v>
          </cell>
          <cell r="G25">
            <v>5</v>
          </cell>
          <cell r="H25">
            <v>5</v>
          </cell>
          <cell r="I25">
            <v>5</v>
          </cell>
          <cell r="J25">
            <v>5</v>
          </cell>
          <cell r="K25">
            <v>5</v>
          </cell>
          <cell r="L25">
            <v>5</v>
          </cell>
          <cell r="M25">
            <v>5</v>
          </cell>
          <cell r="N25">
            <v>5</v>
          </cell>
          <cell r="O25">
            <v>5</v>
          </cell>
          <cell r="P25">
            <v>5</v>
          </cell>
          <cell r="Q25">
            <v>5</v>
          </cell>
          <cell r="S25">
            <v>5</v>
          </cell>
          <cell r="T25">
            <v>5</v>
          </cell>
          <cell r="U25">
            <v>5</v>
          </cell>
        </row>
        <row r="26">
          <cell r="C26">
            <v>5</v>
          </cell>
          <cell r="D26" t="str">
            <v>55</v>
          </cell>
          <cell r="E26">
            <v>5</v>
          </cell>
          <cell r="F26" t="str">
            <v>5</v>
          </cell>
          <cell r="G26">
            <v>5</v>
          </cell>
          <cell r="H26">
            <v>5</v>
          </cell>
          <cell r="I26">
            <v>5</v>
          </cell>
          <cell r="J26">
            <v>5</v>
          </cell>
          <cell r="K26">
            <v>5</v>
          </cell>
          <cell r="L26">
            <v>5</v>
          </cell>
          <cell r="M26">
            <v>5</v>
          </cell>
          <cell r="N26">
            <v>5</v>
          </cell>
          <cell r="O26">
            <v>5</v>
          </cell>
          <cell r="P26">
            <v>5</v>
          </cell>
          <cell r="Q26">
            <v>5</v>
          </cell>
          <cell r="S26">
            <v>5</v>
          </cell>
          <cell r="T26">
            <v>5</v>
          </cell>
          <cell r="U26">
            <v>5</v>
          </cell>
        </row>
        <row r="27">
          <cell r="C27">
            <v>55</v>
          </cell>
          <cell r="D27" t="str">
            <v>5</v>
          </cell>
          <cell r="E27">
            <v>5</v>
          </cell>
          <cell r="F27" t="str">
            <v>5</v>
          </cell>
          <cell r="G27">
            <v>5</v>
          </cell>
          <cell r="H27">
            <v>5</v>
          </cell>
          <cell r="I27">
            <v>5</v>
          </cell>
          <cell r="J27">
            <v>5</v>
          </cell>
          <cell r="K27">
            <v>5</v>
          </cell>
          <cell r="L27">
            <v>5</v>
          </cell>
          <cell r="M27">
            <v>5</v>
          </cell>
          <cell r="N27">
            <v>5</v>
          </cell>
          <cell r="O27">
            <v>5</v>
          </cell>
          <cell r="P27">
            <v>5</v>
          </cell>
          <cell r="Q27">
            <v>5</v>
          </cell>
          <cell r="S27">
            <v>5</v>
          </cell>
          <cell r="T27">
            <v>5</v>
          </cell>
          <cell r="U27">
            <v>5</v>
          </cell>
        </row>
        <row r="28">
          <cell r="C28">
            <v>5</v>
          </cell>
          <cell r="D28" t="str">
            <v>5</v>
          </cell>
          <cell r="E28">
            <v>5</v>
          </cell>
          <cell r="F28" t="str">
            <v>5</v>
          </cell>
          <cell r="G28">
            <v>5</v>
          </cell>
          <cell r="H28">
            <v>5</v>
          </cell>
          <cell r="I28">
            <v>5</v>
          </cell>
          <cell r="J28">
            <v>5</v>
          </cell>
          <cell r="K28">
            <v>5</v>
          </cell>
          <cell r="L28">
            <v>5</v>
          </cell>
          <cell r="M28">
            <v>5</v>
          </cell>
          <cell r="N28">
            <v>5</v>
          </cell>
          <cell r="O28">
            <v>5</v>
          </cell>
          <cell r="P28">
            <v>5</v>
          </cell>
          <cell r="Q28">
            <v>5</v>
          </cell>
          <cell r="S28">
            <v>5</v>
          </cell>
          <cell r="T28">
            <v>5</v>
          </cell>
          <cell r="U28">
            <v>5</v>
          </cell>
        </row>
        <row r="29">
          <cell r="C29">
            <v>5</v>
          </cell>
          <cell r="D29" t="str">
            <v>5</v>
          </cell>
          <cell r="E29">
            <v>5</v>
          </cell>
          <cell r="F29" t="str">
            <v>5</v>
          </cell>
          <cell r="G29">
            <v>5</v>
          </cell>
          <cell r="H29">
            <v>5</v>
          </cell>
          <cell r="I29">
            <v>5</v>
          </cell>
          <cell r="J29">
            <v>5</v>
          </cell>
          <cell r="K29">
            <v>5</v>
          </cell>
          <cell r="L29">
            <v>5</v>
          </cell>
          <cell r="M29">
            <v>5</v>
          </cell>
          <cell r="N29">
            <v>5</v>
          </cell>
          <cell r="O29">
            <v>5</v>
          </cell>
          <cell r="P29">
            <v>5</v>
          </cell>
          <cell r="Q29">
            <v>5</v>
          </cell>
          <cell r="S29">
            <v>5</v>
          </cell>
          <cell r="T29">
            <v>5</v>
          </cell>
          <cell r="U29">
            <v>5</v>
          </cell>
        </row>
        <row r="30">
          <cell r="C30">
            <v>5</v>
          </cell>
          <cell r="D30" t="str">
            <v>5</v>
          </cell>
          <cell r="E30">
            <v>5</v>
          </cell>
          <cell r="F30" t="str">
            <v>5</v>
          </cell>
          <cell r="G30">
            <v>5</v>
          </cell>
          <cell r="H30">
            <v>5</v>
          </cell>
          <cell r="I30">
            <v>5</v>
          </cell>
          <cell r="J30">
            <v>5</v>
          </cell>
          <cell r="K30">
            <v>5</v>
          </cell>
          <cell r="L30">
            <v>5</v>
          </cell>
          <cell r="M30">
            <v>5</v>
          </cell>
          <cell r="N30">
            <v>5</v>
          </cell>
          <cell r="O30">
            <v>5</v>
          </cell>
          <cell r="P30">
            <v>5</v>
          </cell>
          <cell r="Q30">
            <v>5</v>
          </cell>
          <cell r="S30">
            <v>5</v>
          </cell>
          <cell r="T30">
            <v>5</v>
          </cell>
          <cell r="U30">
            <v>5</v>
          </cell>
        </row>
        <row r="31">
          <cell r="C31">
            <v>5</v>
          </cell>
          <cell r="D31">
            <v>5</v>
          </cell>
          <cell r="E31">
            <v>5</v>
          </cell>
          <cell r="F31">
            <v>5</v>
          </cell>
          <cell r="G31">
            <v>5</v>
          </cell>
          <cell r="H31">
            <v>5</v>
          </cell>
          <cell r="I31">
            <v>5</v>
          </cell>
          <cell r="J31">
            <v>5</v>
          </cell>
          <cell r="K31">
            <v>5</v>
          </cell>
          <cell r="L31">
            <v>5</v>
          </cell>
          <cell r="M31">
            <v>5</v>
          </cell>
          <cell r="N31">
            <v>5</v>
          </cell>
          <cell r="O31">
            <v>5</v>
          </cell>
          <cell r="P31">
            <v>5</v>
          </cell>
          <cell r="Q31">
            <v>5</v>
          </cell>
          <cell r="S31">
            <v>5</v>
          </cell>
          <cell r="T31">
            <v>5</v>
          </cell>
          <cell r="U31">
            <v>5</v>
          </cell>
        </row>
        <row r="37">
          <cell r="C37" t="str">
            <v>feet</v>
          </cell>
          <cell r="E37" t="str">
            <v>feet</v>
          </cell>
        </row>
        <row r="39">
          <cell r="C39" t="str">
            <v>2500</v>
          </cell>
          <cell r="D39" t="str">
            <v>5</v>
          </cell>
          <cell r="E39" t="str">
            <v>5</v>
          </cell>
          <cell r="F39" t="str">
            <v>5</v>
          </cell>
          <cell r="G39"/>
          <cell r="H39"/>
        </row>
        <row r="40">
          <cell r="C40" t="str">
            <v>5</v>
          </cell>
          <cell r="D40" t="str">
            <v>5</v>
          </cell>
          <cell r="E40" t="str">
            <v>5</v>
          </cell>
          <cell r="F40" t="str">
            <v>5</v>
          </cell>
          <cell r="G40"/>
          <cell r="H40"/>
        </row>
        <row r="41">
          <cell r="C41" t="str">
            <v>5</v>
          </cell>
          <cell r="D41" t="str">
            <v>5</v>
          </cell>
          <cell r="E41" t="str">
            <v>5</v>
          </cell>
          <cell r="F41" t="str">
            <v>5</v>
          </cell>
          <cell r="G41"/>
          <cell r="H41"/>
        </row>
        <row r="42">
          <cell r="C42" t="str">
            <v>5</v>
          </cell>
          <cell r="D42" t="str">
            <v>5</v>
          </cell>
          <cell r="E42" t="str">
            <v>5</v>
          </cell>
          <cell r="F42" t="str">
            <v>5</v>
          </cell>
          <cell r="G42"/>
          <cell r="H42"/>
        </row>
        <row r="43">
          <cell r="C43" t="str">
            <v>5</v>
          </cell>
          <cell r="D43" t="str">
            <v>6</v>
          </cell>
          <cell r="E43" t="str">
            <v>5</v>
          </cell>
          <cell r="F43" t="str">
            <v>5</v>
          </cell>
          <cell r="G43"/>
          <cell r="H43"/>
        </row>
        <row r="44">
          <cell r="C44" t="str">
            <v>6</v>
          </cell>
          <cell r="D44" t="str">
            <v>5</v>
          </cell>
          <cell r="E44" t="str">
            <v>5</v>
          </cell>
          <cell r="F44" t="str">
            <v>5</v>
          </cell>
          <cell r="G44"/>
          <cell r="H44"/>
        </row>
        <row r="45">
          <cell r="C45" t="str">
            <v>5</v>
          </cell>
          <cell r="D45" t="str">
            <v>5</v>
          </cell>
          <cell r="E45" t="str">
            <v>5</v>
          </cell>
          <cell r="F45" t="str">
            <v>5</v>
          </cell>
          <cell r="G45"/>
          <cell r="H45"/>
        </row>
        <row r="46">
          <cell r="C46" t="str">
            <v>5</v>
          </cell>
          <cell r="D46" t="str">
            <v>5</v>
          </cell>
          <cell r="E46" t="str">
            <v>5</v>
          </cell>
          <cell r="F46" t="str">
            <v>5</v>
          </cell>
          <cell r="G46"/>
          <cell r="H46"/>
        </row>
        <row r="47">
          <cell r="C47" t="str">
            <v>5</v>
          </cell>
          <cell r="D47" t="str">
            <v>5</v>
          </cell>
          <cell r="E47" t="str">
            <v>5</v>
          </cell>
          <cell r="F47" t="str">
            <v>5</v>
          </cell>
          <cell r="G47"/>
          <cell r="H47"/>
        </row>
        <row r="48">
          <cell r="C48" t="str">
            <v>5</v>
          </cell>
          <cell r="D48" t="str">
            <v>5</v>
          </cell>
          <cell r="E48" t="str">
            <v>5</v>
          </cell>
          <cell r="F48" t="str">
            <v>5</v>
          </cell>
          <cell r="G48"/>
          <cell r="H48"/>
        </row>
        <row r="49">
          <cell r="C49" t="str">
            <v>5</v>
          </cell>
          <cell r="D49" t="str">
            <v>5</v>
          </cell>
          <cell r="E49" t="str">
            <v>5</v>
          </cell>
          <cell r="F49" t="str">
            <v>5</v>
          </cell>
          <cell r="G49"/>
          <cell r="H49"/>
        </row>
        <row r="50">
          <cell r="C50" t="str">
            <v>5</v>
          </cell>
          <cell r="D50" t="str">
            <v>5</v>
          </cell>
          <cell r="E50" t="str">
            <v>5</v>
          </cell>
          <cell r="F50" t="str">
            <v>5</v>
          </cell>
          <cell r="G50"/>
          <cell r="H50"/>
        </row>
        <row r="51">
          <cell r="C51" t="str">
            <v>5</v>
          </cell>
          <cell r="D51" t="str">
            <v>5</v>
          </cell>
          <cell r="E51" t="str">
            <v>5</v>
          </cell>
          <cell r="F51" t="str">
            <v>5</v>
          </cell>
          <cell r="G51"/>
          <cell r="H51"/>
        </row>
        <row r="52">
          <cell r="C52" t="str">
            <v>5</v>
          </cell>
          <cell r="D52" t="str">
            <v>5</v>
          </cell>
          <cell r="E52" t="str">
            <v>5</v>
          </cell>
          <cell r="F52" t="str">
            <v>5</v>
          </cell>
          <cell r="G52"/>
          <cell r="H52"/>
        </row>
        <row r="53">
          <cell r="C53" t="str">
            <v>5</v>
          </cell>
          <cell r="D53" t="str">
            <v>55</v>
          </cell>
          <cell r="E53" t="str">
            <v>5</v>
          </cell>
          <cell r="F53" t="str">
            <v>5</v>
          </cell>
          <cell r="G53"/>
          <cell r="H53"/>
        </row>
        <row r="54">
          <cell r="C54" t="str">
            <v>55</v>
          </cell>
          <cell r="D54" t="str">
            <v>5</v>
          </cell>
          <cell r="E54" t="str">
            <v>5</v>
          </cell>
          <cell r="F54" t="str">
            <v>5</v>
          </cell>
          <cell r="G54"/>
          <cell r="H54"/>
        </row>
        <row r="55">
          <cell r="C55" t="str">
            <v>5</v>
          </cell>
          <cell r="D55" t="str">
            <v>5</v>
          </cell>
          <cell r="E55" t="str">
            <v>5</v>
          </cell>
          <cell r="F55" t="str">
            <v>5</v>
          </cell>
          <cell r="G55"/>
          <cell r="H55"/>
        </row>
        <row r="56">
          <cell r="C56" t="str">
            <v>5</v>
          </cell>
          <cell r="D56" t="str">
            <v>5</v>
          </cell>
          <cell r="E56" t="str">
            <v>5</v>
          </cell>
          <cell r="F56" t="str">
            <v>5</v>
          </cell>
          <cell r="G56"/>
          <cell r="H56"/>
        </row>
        <row r="57">
          <cell r="C57" t="str">
            <v>5</v>
          </cell>
          <cell r="D57" t="str">
            <v>5</v>
          </cell>
          <cell r="E57" t="str">
            <v>5</v>
          </cell>
          <cell r="F57" t="str">
            <v>5</v>
          </cell>
          <cell r="G57"/>
          <cell r="H57"/>
        </row>
        <row r="58">
          <cell r="C58" t="str">
            <v>5</v>
          </cell>
          <cell r="D58" t="str">
            <v/>
          </cell>
          <cell r="E58" t="str">
            <v>5</v>
          </cell>
          <cell r="F58" t="str">
            <v/>
          </cell>
          <cell r="G58"/>
          <cell r="H58"/>
        </row>
      </sheetData>
      <sheetData sheetId="2"/>
      <sheetData sheetId="3"/>
      <sheetData sheetId="4"/>
      <sheetData sheetId="5"/>
      <sheetData sheetId="6"/>
      <sheetData sheetId="7"/>
      <sheetData sheetId="8"/>
      <sheetData sheetId="9"/>
      <sheetData sheetId="10"/>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3-09-08T13:08:47.598"/>
    </inkml:context>
    <inkml:brush xml:id="br0">
      <inkml:brushProperty name="width" value="0.035" units="cm"/>
      <inkml:brushProperty name="height" value="0.035" units="cm"/>
      <inkml:brushProperty name="color" value="#E71224"/>
    </inkml:brush>
  </inkml:definitions>
  <inkml:trace contextRef="#ctx0" brushRef="#br0">989 189 4143 0 0,'0'0'319'0'0,"2"-8"4447"0"0,1 3 1148 0 0,8-9-5082 0 0,-11 14-754 0 0,0-1 0 0 0,1 1 0 0 0,-1 0 1 0 0,0-1-1 0 0,0 1 0 0 0,1 0 0 0 0,-1-1 0 0 0,0 1 0 0 0,0-1 1 0 0,0 1-1 0 0,1-1 0 0 0,-1 1 0 0 0,0 0 0 0 0,0-1 0 0 0,0 1 1 0 0,0-1-1 0 0,0 1 0 0 0,0-1 0 0 0,0 1 0 0 0,0-1 0 0 0,0 1 1 0 0,0-1-1 0 0,0 1 0 0 0,0 0 0 0 0,0-1 0 0 0,-1 1 0 0 0,1-1 1 0 0,0 0-1 0 0,-1 1 25 0 0,1-1 0 0 0,-1 1 0 0 0,0-1 0 0 0,1 1 0 0 0,-1-1 0 0 0,0 1 0 0 0,1 0 0 0 0,-1-1 0 0 0,0 1 0 0 0,0 0 0 0 0,1 0 0 0 0,-1-1 1 0 0,0 1-1 0 0,-1 0 0 0 0,-25 0 1546 0 0,27 0-1617 0 0,-18 3 326 0 0,-1 1-1 0 0,1 0 0 0 0,0 1 0 0 0,-20 9 0 0 0,-67 35 156 0 0,86-40-390 0 0,-70 36 500 0 0,-111 75-1 0 0,193-115-589 0 0,0 0 0 0 0,0 1 0 0 0,1 0 1 0 0,-1 0-1 0 0,1 0 0 0 0,-9 13 0 0 0,14-17-32 0 0,0 0 0 0 0,0 0 0 0 0,0 0 0 0 0,0 0 0 0 0,0 0 0 0 0,0 0 0 0 0,1 0 0 0 0,-1 0 0 0 0,1 0 0 0 0,-1 0 0 0 0,1 0 0 0 0,0 1 0 0 0,0-1 0 0 0,0 0 0 0 0,0 0 0 0 0,0 0 0 0 0,1 0-1 0 0,-1 0 1 0 0,1 1 0 0 0,-1-1 0 0 0,1 0 0 0 0,0 0 0 0 0,0 0 0 0 0,0 0 0 0 0,0 0 0 0 0,0-1 0 0 0,0 1 0 0 0,0 0 0 0 0,1 0 0 0 0,-1-1 0 0 0,1 1 0 0 0,1 1 0 0 0,4 3-3 0 0,0 0-1 0 0,0-1 0 0 0,1 0 1 0 0,0 0-1 0 0,-1-1 1 0 0,2 0-1 0 0,13 5 1 0 0,64 16-185 0 0,-73-22 146 0 0,26 6-76 0 0,-12-3-80 0 0,44 15 1 0 0,-64-19 168 0 0,-1 1 1 0 0,1 0 0 0 0,-1 0 0 0 0,0 0-1 0 0,0 1 1 0 0,-1 0 0 0 0,1 0 0 0 0,-1 1 0 0 0,0-1-1 0 0,0 1 1 0 0,8 11 0 0 0,-11-14 26 0 0,-1 0 1 0 0,0 0-1 0 0,0 0 1 0 0,0 0-1 0 0,0 0 1 0 0,-1 0-1 0 0,1 0 1 0 0,0 1 0 0 0,-1-1-1 0 0,1 0 1 0 0,-1 0-1 0 0,0 1 1 0 0,0-1-1 0 0,0 0 1 0 0,0 0-1 0 0,0 1 1 0 0,-1 2-1 0 0,0-2 1 0 0,0 1-1 0 0,-1-1 1 0 0,1 1-1 0 0,-1-1 1 0 0,1 0-1 0 0,-1 0 1 0 0,0 0-1 0 0,-1 0 1 0 0,-3 5-1 0 0,-4 1 7 0 0,0 0-1 0 0,0 0 1 0 0,-1-2 0 0 0,-20 13-1 0 0,2-5 178 0 0,0-2 0 0 0,-1 0 0 0 0,-1-2 0 0 0,0-1 0 0 0,0-1 0 0 0,0-2 0 0 0,-35 3 0 0 0,18-5 68 0 0,0-3-1 0 0,0-1 0 0 0,0-3 1 0 0,-54-8-1 0 0,99 9-259 0 0,-13 0-75 0 0,1-2-1 0 0,0 0 0 0 0,-1 0 0 0 0,1-2 0 0 0,-26-11 0 0 0,33 11-2015 0 0</inkml:trace>
  <inkml:trace contextRef="#ctx0" brushRef="#br0" timeOffset="992.19">1181 676 3223 0 0,'0'-1'84'0'0,"-1"1"0"0"0,1 0-1 0 0,0 0 1 0 0,0 0 0 0 0,0 0-1 0 0,-1-1 1 0 0,1 1 0 0 0,0 0-1 0 0,0 0 1 0 0,-1 0 0 0 0,1 0-1 0 0,0 0 1 0 0,0 0 0 0 0,-1 0-1 0 0,1 0 1 0 0,0 0 0 0 0,0 0-1 0 0,-1 0 1 0 0,1 0 0 0 0,0 0-1 0 0,0 0 1 0 0,-1 0 0 0 0,1 0-1 0 0,0 0 1 0 0,0 0 0 0 0,-1 0-1 0 0,1 0 1 0 0,0 0 0 0 0,0 0-1 0 0,-1 0 1 0 0,1 0 0 0 0,0 1-1 0 0,-9 8 2959 0 0,-2 13 1210 0 0,8-11-3374 0 0,1-1-1 0 0,0 0 1 0 0,1 1 0 0 0,0-1-1 0 0,0 1 1 0 0,1-1 0 0 0,0 1 0 0 0,1-1-1 0 0,2 13 1 0 0,2 32 722 0 0,-4-47-812 0 0,4-16-432 0 0,3-20-168 0 0,-7 25-137 0 0,13-38 28 0 0,1 1 0 0 0,25-47 1 0 0,50-74-121 0 0,-84 151 45 0 0,107-165-304 0 0,-95 151 245 0 0,2 1 0 0 0,0 1 0 0 0,1 0-1 0 0,45-34 1 0 0,-64 55 56 0 0,4-4 23 0 0,-1 2 0 0 0,1-1 0 0 0,1 0 0 0 0,6-2 1 0 0,-13 6-21 0 0,1-1 0 0 0,0 1 0 0 0,0 0 1 0 0,0-1-1 0 0,-1 1 0 0 0,1 0 0 0 0,0 0 1 0 0,0 0-1 0 0,0-1 0 0 0,0 1 0 0 0,0 0 1 0 0,-1 0-1 0 0,1 0 0 0 0,0 0 0 0 0,0 0 1 0 0,0 1-1 0 0,0-1 0 0 0,0 0 0 0 0,-1 0 1 0 0,1 0-1 0 0,0 1 0 0 0,0-1 0 0 0,0 1 0 0 0,-1-1 1 0 0,1 0-1 0 0,0 1 0 0 0,0-1 0 0 0,-1 1 1 0 0,1 0-1 0 0,-1-1 0 0 0,1 1 0 0 0,0-1 1 0 0,-1 1-1 0 0,1 0 0 0 0,-1 0 0 0 0,1-1 1 0 0,-1 1-1 0 0,0 0 0 0 0,1 0 0 0 0,-1-1 1 0 0,0 1-1 0 0,1 1 0 0 0,1 7 78 0 0,-1 0 0 0 0,0 0-1 0 0,0 0 1 0 0,-1 0 0 0 0,-1 0-1 0 0,1 0 1 0 0,-4 15 0 0 0,-18 65 386 0 0,17-70-407 0 0,-34 101 651 0 0,-76 160 1 0 0,111-273-654 0 0,3-5-37 0 0,0 0 0 0 0,0 1-1 0 0,0-1 1 0 0,0 0 0 0 0,0 1 0 0 0,0-1 0 0 0,0 0-1 0 0,1 1 1 0 0,-1-1 0 0 0,1 4 0 0 0,9-12 31 0 0,8-13-59 0 0,0-1 0 0 0,20-30 0 0 0,24-48-299 0 0,-53 84 213 0 0,46-80-393 0 0,98-154-1304 0 0,-124 208 1350 0 0,2 0-1 0 0,2 2 0 0 0,65-60 0 0 0,-95 97 429 0 0,3-5-62 0 0,1 1 0 0 0,0 1 0 0 0,0-1 0 0 0,0 1 1 0 0,1 0-1 0 0,12-6 0 0 0,-18 10 72 0 0,0-1 0 0 0,0 1-1 0 0,-1 0 1 0 0,1 0 0 0 0,0-1 0 0 0,0 1 0 0 0,0 0 0 0 0,0 0 0 0 0,0 0 0 0 0,-1 0-1 0 0,1 0 1 0 0,0 0 0 0 0,0 0 0 0 0,0 0 0 0 0,0 1 0 0 0,0-1 0 0 0,-1 0 0 0 0,1 0-1 0 0,0 1 1 0 0,0-1 0 0 0,0 0 0 0 0,-1 1 0 0 0,1-1 0 0 0,0 1 0 0 0,1 1 0 0 0,-1-1 8 0 0,0 0 0 0 0,-1 1-1 0 0,1-1 1 0 0,0 1 0 0 0,0-1 0 0 0,-1 1 0 0 0,1-1 0 0 0,-1 1 0 0 0,0 0 0 0 0,1-1 0 0 0,-1 1 0 0 0,0 2 0 0 0,0 6 89 0 0,0 0 0 0 0,-1-1 1 0 0,-3 16-1 0 0,3-24-77 0 0,-10 51 871 0 0,-31 82 0 0 0,-31 45 607 0 0,49-124-1086 0 0,-4 5-25 0 0,16-37-552 0 0,2 0-1 0 0,0 1 1 0 0,-6 27-1 0 0,14-42-6323 0 0</inkml:trace>
  <inkml:trace contextRef="#ctx0" brushRef="#br0" timeOffset="1746.89">2220 798 14743 0 0,'-1'1'373'0'0,"0"0"-1"0"0,0-1 0 0 0,1 1 0 0 0,-1 0 1 0 0,0 0-1 0 0,1 0 0 0 0,-1 0 1 0 0,1 0-1 0 0,-1 0 0 0 0,1 0 1 0 0,-1 0-1 0 0,0 2 0 0 0,1-2-290 0 0,0-1 0 0 0,0 1 0 0 0,0-1 0 0 0,0 0 0 0 0,0 1 0 0 0,0-1 0 0 0,0 1 0 0 0,0-1 0 0 0,1 0-1 0 0,-1 1 1 0 0,0-1 0 0 0,0 1 0 0 0,0-1 0 0 0,0 0 0 0 0,0 1 0 0 0,1-1 0 0 0,-1 0 0 0 0,0 1 0 0 0,0-1 0 0 0,1 0 0 0 0,-1 1 0 0 0,0-1-1 0 0,1 1 1 0 0,0-1-52 0 0,0 0 0 0 0,0 1 0 0 0,0-1-1 0 0,0 0 1 0 0,0 1 0 0 0,0-1 0 0 0,0 0-1 0 0,-1 0 1 0 0,1 0 0 0 0,0 0 0 0 0,0 0-1 0 0,0 0 1 0 0,0 0 0 0 0,0 0 0 0 0,0-1-1 0 0,0 1 1 0 0,0 0 0 0 0,0 0 0 0 0,0-1-1 0 0,0 1 1 0 0,0-1 0 0 0,0 1 0 0 0,-1-1-1 0 0,1 1 1 0 0,0-1 0 0 0,1-1-1 0 0,6-6 107 0 0,0 0-1 0 0,-1-1 0 0 0,0 0 0 0 0,-1 0 0 0 0,0-1 0 0 0,5-10 0 0 0,4-6 46 0 0,52-84 259 0 0,113-170 115 0 0,-150 238-565 0 0,3 1 0 0 0,2 2-1 0 0,1 1 1 0 0,53-43 0 0 0,-85 78 10 0 0,0 0 0 0 0,0 0 0 0 0,0 1 0 0 0,1-1 0 0 0,6-2 0 0 0,-10 4 0 0 0,0 1 0 0 0,-1 0 0 0 0,1 0 0 0 0,0 0 0 0 0,-1 0 0 0 0,1-1 0 0 0,0 1 0 0 0,-1 0 0 0 0,1 0 0 0 0,0 0 0 0 0,0 1 0 0 0,-1-1 0 0 0,1 0 0 0 0,0 0 0 0 0,-1 0 0 0 0,1 0 0 0 0,0 1 0 0 0,1 0 0 0 0,-2-1 0 0 0,1 1 0 0 0,0 0 0 0 0,-1-1 0 0 0,1 1 0 0 0,-1 0 0 0 0,1 0 0 0 0,-1 0 0 0 0,1-1 0 0 0,-1 1 0 0 0,0 0 0 0 0,1 0 0 0 0,-1 0 0 0 0,0 0 0 0 0,1 0 0 0 0,-1 0 0 0 0,0 0 0 0 0,0 0 0 0 0,0 1 0 0 0,0 14 55 0 0,-1 0 0 0 0,0 1-1 0 0,-2-1 1 0 0,1 0 0 0 0,-9 23-1 0 0,4-11 35 0 0,-81 283 996 0 0,28-109-379 0 0,57-193-662 0 0,0-1-30 0 0,1 1-1 0 0,0-1 0 0 0,0 1 1 0 0,1-1-1 0 0,0 1 0 0 0,0 0 0 0 0,1-1 1 0 0,1 11-1 0 0,-1-18-31 0 0,0-1 1 0 0,0 0-1 0 0,0 0 0 0 0,0 1 1 0 0,0-1-1 0 0,0 0 0 0 0,0 1 0 0 0,0-1 1 0 0,0 0-1 0 0,0 1 0 0 0,0-1 1 0 0,0 0-1 0 0,1 0 0 0 0,-1 1 0 0 0,0-1 1 0 0,0 0-1 0 0,0 1 0 0 0,0-1 1 0 0,1 0-1 0 0,-1 0 0 0 0,0 0 1 0 0,0 1-1 0 0,1-1 0 0 0,-1 0 0 0 0,0 0 1 0 0,0 0-1 0 0,1 0 0 0 0,-1 1 1 0 0,0-1-1 0 0,1 0 0 0 0,-1 0 0 0 0,0 0 1 0 0,0 0-1 0 0,1 0 0 0 0,-1 0 1 0 0,0 0-1 0 0,1 0 0 0 0,0 0 1 0 0,11-6-7014 0 0,-2-3-1172 0 0</inkml:trace>
  <inkml:trace contextRef="#ctx0" brushRef="#br0" timeOffset="2278.3">2505 658 19807 0 0,'-3'0'1760'0'0,"2"0"-1408"0"0,2 0-280 0 0,1 0-72 0 0,1 0 392 0 0,1-2 64 0 0,3-1 16 0 0,2-2 0 0 0,9-2 0 0 0,6-4 0 0 0,5 0 0 0 0,5-6 0 0 0,3-1-472 0 0,2-3-192 0 0,2-3 16 0 0,2-2 0 0 0</inkml:trace>
  <inkml:trace contextRef="#ctx0" brushRef="#br0" timeOffset="2828.23">3369 261 9215 0 0,'-1'0'127'0'0,"1"0"0"0"0,-1 1 0 0 0,1-1 0 0 0,-1 0 0 0 0,1 0 0 0 0,-1 1 0 0 0,1-1 0 0 0,-1 0 0 0 0,1 1 0 0 0,-1-1 0 0 0,1 0-1 0 0,-1 1 1 0 0,1-1 0 0 0,0 1 0 0 0,-1-1 0 0 0,1 1 0 0 0,0-1 0 0 0,-1 1 0 0 0,1-1 0 0 0,0 1 0 0 0,0-1 0 0 0,-1 1 0 0 0,1-1-1 0 0,0 2 1 0 0,-1 0 158 0 0,-10 20 1930 0 0,1-1 1 0 0,-12 45 0 0 0,6-19-802 0 0,-64 146 1208 0 0,69-171-2192 0 0,-1-1-1 0 0,-1 0 1 0 0,-1 0 0 0 0,-1-2 0 0 0,-1 0 0 0 0,-27 26-1 0 0,43-45-395 0 0,-1 0 0 0 0,1 1-1 0 0,-1-1 1 0 0,1 1-1 0 0,0-1 1 0 0,-1 0-1 0 0,1 1 1 0 0,-1-1 0 0 0,0 0-1 0 0,1 1 1 0 0,-1-1-1 0 0,1 0 1 0 0,-1 0-1 0 0,1 0 1 0 0,-1 1 0 0 0,0-1-1 0 0,0 0 1 0 0,1 0-23 0 0,0 0 1 0 0,-1-1 0 0 0,1 1 0 0 0,0 0 0 0 0,0 0 0 0 0,0 0-1 0 0,-1 0 1 0 0,1-1 0 0 0,0 1 0 0 0,0 0 0 0 0,0 0 0 0 0,0 0-1 0 0,0-1 1 0 0,-1 1 0 0 0,1 0 0 0 0,0 0 0 0 0,0 0-1 0 0,0-1 1 0 0,0 1 0 0 0,0 0 0 0 0,0 0 0 0 0,0-1 0 0 0,0 1-1 0 0,0 0 1 0 0,0 0 0 0 0,0-1 0 0 0,0 1 0 0 0,4-22 108 0 0,12-18-102 0 0,1 2 0 0 0,3 0 0 0 0,25-36 0 0 0,-36 59-58 0 0,21-33-230 0 0,3 1-1 0 0,2 1 0 0 0,1 3 0 0 0,65-61 0 0 0,-71 77 202 0 0,1 2-1 0 0,2 1 0 0 0,0 1 0 0 0,1 2 1 0 0,1 1-1 0 0,1 2 0 0 0,48-16 0 0 0,-58 25 44 0 0,29-5-1 0 0,-46 12 27 0 0,1 0 0 0 0,0 1 0 0 0,-1 0 0 0 0,1 1 0 0 0,0 0 0 0 0,15 3 0 0 0,-24-3 3 0 0,1 0 0 0 0,-1 0 0 0 0,1 0 0 0 0,-1 1 0 0 0,1-1 0 0 0,-1 1 0 0 0,0-1-1 0 0,1 1 1 0 0,-1-1 0 0 0,0 1 0 0 0,1 0 0 0 0,-1 0 0 0 0,0-1 0 0 0,0 1 0 0 0,1 0 0 0 0,-1 0 0 0 0,0 0 0 0 0,0 0-1 0 0,0 1 1 0 0,0-1 0 0 0,-1 0 0 0 0,1 0 0 0 0,0 1 0 0 0,0-1 0 0 0,-1 0 0 0 0,1 1 0 0 0,-1-1 0 0 0,1 0 0 0 0,-1 1 0 0 0,1-1-1 0 0,-1 1 1 0 0,0-1 0 0 0,0 1 0 0 0,0-1 0 0 0,0 1 0 0 0,0-1 0 0 0,0 1 0 0 0,0-1 0 0 0,0 1 0 0 0,-1 1 0 0 0,-1 4-11 0 0,-1 0 1 0 0,1-1 0 0 0,-1 1-1 0 0,-1-1 1 0 0,1 1 0 0 0,-1-1 0 0 0,-6 7-1 0 0,-11 14-132 0 0,-2-2 0 0 0,-1-1 0 0 0,-47 38-1 0 0,-91 53-417 0 0,130-93 504 0 0,2-3 0 0 0,18-12 62 0 0,0 0 1 0 0,1 0-1 0 0,0 1 0 0 0,1 1 0 0 0,-1 0 1 0 0,2 0-1 0 0,-10 12 0 0 0,18-18 28 0 0,-1 0-1 0 0,1 0 1 0 0,0 0 0 0 0,0 0-1 0 0,0 1 1 0 0,0-1 0 0 0,0 0-1 0 0,1 0 1 0 0,-1 1 0 0 0,1-1-1 0 0,0 1 1 0 0,0-1-1 0 0,0 0 1 0 0,1 1 0 0 0,-1-1-1 0 0,1 0 1 0 0,0 0 0 0 0,0 1-1 0 0,0-1 1 0 0,0 0 0 0 0,0 0-1 0 0,1 0 1 0 0,2 4 0 0 0,1 2 114 0 0,1 1 0 0 0,0-1 0 0 0,1 0 1 0 0,0-1-1 0 0,15 15 0 0 0,-13-16-71 0 0,0 0 0 0 0,0 0-1 0 0,1 0 1 0 0,0-1 0 0 0,0-1-1 0 0,0 0 1 0 0,1 0 0 0 0,0-1-1 0 0,0-1 1 0 0,0 1 0 0 0,0-2-1 0 0,0 0 1 0 0,1 0 0 0 0,-1-1-1 0 0,1 0 1 0 0,0-1 0 0 0,-1 0-1 0 0,19-3 1 0 0,-24 1-79 0 0,-1 0-1 0 0,1 0 1 0 0,0 0 0 0 0,7-5-1 0 0,11-4-934 0 0,-19 9 216 0 0</inkml:trace>
  <inkml:trace contextRef="#ctx0" brushRef="#br0" timeOffset="3423.74">4462 239 919 0 0,'8'-14'1687'0'0,"0"1"0"0"0,1 1-1 0 0,0-1 1 0 0,17-15 0 0 0,-26 27-1565 0 0,0 1 0 0 0,0 0-1 0 0,1 0 1 0 0,-1-1 0 0 0,0 1 0 0 0,0 0 0 0 0,1-1 0 0 0,-1 1 0 0 0,0 0 0 0 0,1 0 0 0 0,-1 0 0 0 0,0-1-1 0 0,1 1 1 0 0,-1 0 0 0 0,0 0 0 0 0,1 0 0 0 0,-1 0 0 0 0,0 0 0 0 0,1 0 0 0 0,-1 0 0 0 0,1-1 0 0 0,-1 1 0 0 0,0 0-1 0 0,1 0 1 0 0,-1 1 0 0 0,1-1 0 0 0,-1 0 0 0 0,0 0 0 0 0,1 0 0 0 0,0 0 12 0 0,-1 1-1 0 0,0-1 1 0 0,1 1 0 0 0,-1 0 0 0 0,0-1-1 0 0,0 1 1 0 0,1-1 0 0 0,-1 1 0 0 0,0-1-1 0 0,0 1 1 0 0,0 0 0 0 0,0-1 0 0 0,0 1-1 0 0,0-1 1 0 0,0 1 0 0 0,0 0-1 0 0,-3 26 2265 0 0,-25 80 1755 0 0,-26 50-2712 0 0,26-77-814 0 0,-28 69 286 0 0,-10 33 27 0 0,65-179-935 0 0,0 0-6 0 0,0-1 0 0 0,0 1 0 0 0,1-1 1 0 0,-1 1-1 0 0,1-1 0 0 0,-1 1 0 0 0,1-1 0 0 0,0 6 0 0 0,0-8-7 0 0,0 0-1 0 0,0 0 0 0 0,0 0 1 0 0,0 0-1 0 0,0 0 0 0 0,0 1 1 0 0,1-1-1 0 0,-1 0 0 0 0,0 0 1 0 0,0 0-1 0 0,0 0 0 0 0,0 0 0 0 0,0 0 1 0 0,0 0-1 0 0,0 1 0 0 0,0-1 1 0 0,0 0-1 0 0,0 0 0 0 0,1 0 1 0 0,-1 0-1 0 0,0 0 0 0 0,0 0 0 0 0,0 0 1 0 0,0 0-1 0 0,0 0 0 0 0,0 0 1 0 0,0 0-1 0 0,1 0 0 0 0,-1 0 1 0 0,0 0-1 0 0,0 0 0 0 0,0 0 1 0 0,0 0-1 0 0,0 0 0 0 0,1 0 0 0 0,-1 0 1 0 0,0 0-1 0 0,0 0 0 0 0,0 0 1 0 0,0 0-1 0 0,0 0 0 0 0,0 0 1 0 0,0 0-1 0 0,1 0 0 0 0,-1 0 0 0 0,0 0 1 0 0,0 0-1 0 0,0 0 0 0 0,0 0 1 0 0,0 0-1 0 0,0-1 0 0 0,0 1 1 0 0,0 0-1 0 0,1 0 0 0 0,-1 0 1 0 0,0 0-1 0 0,7-7-453 0 0,-7 7 439 0 0,9-11-2021 0 0,1-5-6173 0 0</inkml:trace>
  <inkml:trace contextRef="#ctx0" brushRef="#br0" timeOffset="3786.12">4198 275 2303 0 0,'-10'-4'-1749'0'0,"7"3"2711"0"0,0-1 1 0 0,0 1-1 0 0,0 0 1 0 0,0-1-1 0 0,0 0 1 0 0,-3-2-1 0 0,6 3-627 0 0,-1 1 0 0 0,1-1-1 0 0,-1 1 1 0 0,1-1 0 0 0,-1 0 0 0 0,1 1-1 0 0,0-1 1 0 0,-1 1 0 0 0,1-1-1 0 0,0 0 1 0 0,0 0 0 0 0,-1 1 0 0 0,1-1-1 0 0,0 0 1 0 0,0 0 0 0 0,0 1-1 0 0,0-1 1 0 0,0 0 0 0 0,0 0-1 0 0,0 1 1 0 0,0-1 0 0 0,0 0 0 0 0,0 1-1 0 0,0-1 1 0 0,0 0 0 0 0,1 0-1 0 0,-1 1 1 0 0,0-1 0 0 0,1 0-1 0 0,-1 1 1 0 0,0-1 0 0 0,1 0 0 0 0,0 0-1 0 0,2-3 1 0 0,0 0 0 0 0,1 0 0 0 0,-1 1 0 0 0,1-1 0 0 0,0 1 1 0 0,0 0-1 0 0,0 0 0 0 0,1 0 0 0 0,-1 1 0 0 0,1 0 0 0 0,-1-1 0 0 0,7 0 0 0 0,11-5 115 0 0,29-6 0 0 0,-43 12-230 0 0,322-49 2728 0 0,-40 35-1569 0 0,-101 8-1298 0 0,-178 7-159 0 0,-8 0 24 0 0,0 1 0 0 0,-1 0 0 0 0,1-1 0 0 0,0 1 1 0 0,0 0-1 0 0,0 0 0 0 0,0 1 0 0 0,0-1 0 0 0,-1 1 0 0 0,5 0 0 0 0,-7-1-6 0 0,1 1 0 0 0,-1-1-1 0 0,0 0 1 0 0,0 0-1 0 0,0 0 1 0 0,0 0-1 0 0,1 0 1 0 0,-1 1-1 0 0,0-1 1 0 0,0 0-1 0 0,0 0 1 0 0,0 0-1 0 0,0 0 1 0 0,1 1 0 0 0,-1-1-1 0 0,0 0 1 0 0,0 0-1 0 0,0 1 1 0 0,0-1-1 0 0,0 0 1 0 0,0 0-1 0 0,0 0 1 0 0,0 1-1 0 0,0-1 1 0 0,0 0 0 0 0,0 0-1 0 0,0 1 1 0 0,0-1-1 0 0,0 0 1 0 0,0 0-1 0 0,0 1 1 0 0,-4 5-6428 0 0,-2 1-1895 0 0</inkml:trace>
</inkm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nzenero@welldrive.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134D-42A1-49AB-BFD8-A187AAB5E91F}">
  <sheetPr codeName="Sheet1"/>
  <dimension ref="A1"/>
  <sheetViews>
    <sheetView workbookViewId="0">
      <selection activeCell="C29" sqref="C29"/>
    </sheetView>
  </sheetViews>
  <sheetFormatPr defaultRowHeight="14.25" x14ac:dyDescent="0.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09463-3532-4127-A7C1-0D691BC586C3}">
  <sheetPr codeName="Sheet2">
    <tabColor theme="8" tint="0.59999389629810485"/>
  </sheetPr>
  <dimension ref="A1:BA149"/>
  <sheetViews>
    <sheetView tabSelected="1" zoomScaleNormal="100" workbookViewId="0">
      <selection activeCell="C20" sqref="C20"/>
    </sheetView>
  </sheetViews>
  <sheetFormatPr defaultColWidth="9" defaultRowHeight="14.25" x14ac:dyDescent="0.45"/>
  <cols>
    <col min="1" max="2" width="9" style="28"/>
    <col min="3" max="3" width="27.59765625" style="10" bestFit="1" customWidth="1"/>
    <col min="4" max="6" width="14.73046875" style="10" customWidth="1"/>
    <col min="7" max="7" width="15.1328125" style="10" customWidth="1"/>
    <col min="8" max="8" width="14.265625" style="10" customWidth="1"/>
    <col min="9" max="9" width="17" style="10" customWidth="1"/>
    <col min="10" max="10" width="16" style="10" customWidth="1"/>
    <col min="11" max="11" width="19" style="10" customWidth="1"/>
    <col min="12" max="12" width="18.59765625" style="10" customWidth="1"/>
    <col min="13" max="13" width="12.59765625" style="10" customWidth="1"/>
    <col min="14" max="14" width="19.1328125" style="10" customWidth="1"/>
    <col min="15" max="15" width="13" style="10" customWidth="1"/>
    <col min="16" max="16" width="12.3984375" style="10" customWidth="1"/>
    <col min="17" max="17" width="9" style="10"/>
    <col min="18" max="18" width="12.59765625" style="10" customWidth="1"/>
    <col min="19" max="19" width="13.3984375" style="10" customWidth="1"/>
    <col min="20" max="20" width="15.86328125" style="10" customWidth="1"/>
    <col min="21" max="21" width="13.1328125" style="10" customWidth="1"/>
    <col min="22" max="22" width="12.1328125" style="10" customWidth="1"/>
    <col min="23" max="23" width="13.73046875" style="10" customWidth="1"/>
    <col min="24" max="24" width="15.59765625" style="10" customWidth="1"/>
    <col min="25" max="25" width="12.265625" style="10" customWidth="1"/>
    <col min="26" max="26" width="12.59765625" style="10" customWidth="1"/>
    <col min="27" max="27" width="10.3984375" style="10" customWidth="1"/>
    <col min="28" max="53" width="9" style="28"/>
    <col min="54" max="16384" width="9" style="10"/>
  </cols>
  <sheetData>
    <row r="1" spans="1:35" x14ac:dyDescent="0.45">
      <c r="C1" s="2"/>
      <c r="D1" s="2"/>
      <c r="E1" s="2"/>
      <c r="F1" s="2"/>
      <c r="G1" s="2"/>
      <c r="H1" s="2"/>
      <c r="I1" s="2"/>
      <c r="J1" s="2"/>
      <c r="K1" s="2"/>
      <c r="L1" s="2"/>
      <c r="M1" s="2"/>
      <c r="N1" s="2"/>
      <c r="O1" s="2"/>
      <c r="P1" s="2"/>
      <c r="Q1" s="2"/>
      <c r="R1" s="2"/>
      <c r="S1" s="2"/>
      <c r="T1" s="2"/>
      <c r="U1" s="2"/>
      <c r="V1" s="2"/>
      <c r="W1" s="2"/>
      <c r="X1" s="2"/>
      <c r="Y1" s="2"/>
      <c r="Z1" s="2"/>
      <c r="AA1" s="2"/>
    </row>
    <row r="2" spans="1:35" x14ac:dyDescent="0.45">
      <c r="C2" s="2" t="s">
        <v>0</v>
      </c>
      <c r="D2" s="2"/>
      <c r="E2" s="2"/>
      <c r="F2" s="2"/>
      <c r="G2" s="2"/>
      <c r="H2" s="56" t="s">
        <v>1</v>
      </c>
      <c r="I2" s="83" t="s">
        <v>158</v>
      </c>
      <c r="J2" s="84"/>
      <c r="K2" s="2"/>
      <c r="L2" s="2" t="s">
        <v>2</v>
      </c>
      <c r="M2" s="2" t="s">
        <v>3</v>
      </c>
      <c r="N2" s="2" t="s">
        <v>4</v>
      </c>
      <c r="O2" s="2" t="s">
        <v>5</v>
      </c>
      <c r="P2" s="2" t="s">
        <v>6</v>
      </c>
      <c r="Q2" s="2" t="s">
        <v>7</v>
      </c>
      <c r="R2" s="2" t="s">
        <v>8</v>
      </c>
      <c r="S2" s="2" t="s">
        <v>9</v>
      </c>
      <c r="T2" s="2" t="s">
        <v>10</v>
      </c>
      <c r="U2" s="2" t="s">
        <v>11</v>
      </c>
      <c r="V2" s="2" t="s">
        <v>12</v>
      </c>
      <c r="W2" s="2" t="s">
        <v>13</v>
      </c>
      <c r="X2" s="2" t="s">
        <v>14</v>
      </c>
      <c r="Y2" s="2"/>
      <c r="Z2" s="2"/>
      <c r="AA2" s="2"/>
    </row>
    <row r="3" spans="1:35" x14ac:dyDescent="0.45">
      <c r="C3" s="59" t="s">
        <v>15</v>
      </c>
      <c r="D3" s="59" t="s">
        <v>16</v>
      </c>
      <c r="E3" s="59" t="s">
        <v>17</v>
      </c>
      <c r="F3" s="59" t="s">
        <v>18</v>
      </c>
      <c r="G3" s="59" t="s">
        <v>19</v>
      </c>
      <c r="H3" s="60" t="s">
        <v>20</v>
      </c>
      <c r="I3" s="60" t="s">
        <v>21</v>
      </c>
      <c r="J3" s="61"/>
      <c r="K3" s="2"/>
      <c r="L3" s="2"/>
      <c r="M3" s="2" t="s">
        <v>22</v>
      </c>
      <c r="N3" s="2" t="s">
        <v>23</v>
      </c>
      <c r="O3" s="2" t="s">
        <v>24</v>
      </c>
      <c r="P3" s="2" t="s">
        <v>25</v>
      </c>
      <c r="Q3" s="2" t="s">
        <v>26</v>
      </c>
      <c r="R3" s="2" t="s">
        <v>27</v>
      </c>
      <c r="S3" s="2" t="s">
        <v>28</v>
      </c>
      <c r="T3" s="2" t="s">
        <v>29</v>
      </c>
      <c r="U3" s="2" t="s">
        <v>25</v>
      </c>
      <c r="V3" s="2" t="s">
        <v>25</v>
      </c>
      <c r="W3" s="2" t="s">
        <v>30</v>
      </c>
      <c r="X3" s="2" t="s">
        <v>31</v>
      </c>
      <c r="Y3" s="2"/>
      <c r="Z3" s="2"/>
      <c r="AA3" s="2"/>
    </row>
    <row r="4" spans="1:35" x14ac:dyDescent="0.45">
      <c r="C4" s="31" t="s">
        <v>32</v>
      </c>
      <c r="D4" s="32" t="s">
        <v>33</v>
      </c>
      <c r="E4" s="32">
        <v>22000</v>
      </c>
      <c r="F4" s="32">
        <v>423434245</v>
      </c>
      <c r="G4" s="32" t="s">
        <v>34</v>
      </c>
      <c r="H4" s="29" t="s">
        <v>35</v>
      </c>
      <c r="I4" s="29">
        <v>-1</v>
      </c>
      <c r="J4" s="30"/>
      <c r="K4" s="2"/>
      <c r="L4" s="2"/>
      <c r="M4" s="2" t="s">
        <v>36</v>
      </c>
      <c r="N4" s="2" t="s">
        <v>37</v>
      </c>
      <c r="O4" s="2" t="s">
        <v>38</v>
      </c>
      <c r="P4" s="2" t="s">
        <v>30</v>
      </c>
      <c r="Q4" s="2" t="s">
        <v>39</v>
      </c>
      <c r="R4" s="2" t="s">
        <v>40</v>
      </c>
      <c r="S4" s="2" t="s">
        <v>30</v>
      </c>
      <c r="T4" s="2" t="s">
        <v>41</v>
      </c>
      <c r="U4" s="2" t="s">
        <v>28</v>
      </c>
      <c r="V4" s="2" t="s">
        <v>28</v>
      </c>
      <c r="W4" s="2" t="s">
        <v>28</v>
      </c>
      <c r="X4" s="2" t="s">
        <v>30</v>
      </c>
      <c r="Y4" s="2"/>
      <c r="Z4" s="2"/>
      <c r="AA4" s="2"/>
    </row>
    <row r="5" spans="1:35" x14ac:dyDescent="0.45">
      <c r="C5" s="2"/>
      <c r="D5" s="2"/>
      <c r="E5" s="2"/>
      <c r="F5" s="2"/>
      <c r="G5" s="2"/>
      <c r="H5" s="2"/>
      <c r="I5" s="2"/>
      <c r="J5" s="2"/>
      <c r="K5" s="2"/>
      <c r="L5" s="2"/>
      <c r="M5" s="2"/>
      <c r="N5" s="2" t="s">
        <v>42</v>
      </c>
      <c r="O5" s="2"/>
      <c r="P5" s="2" t="s">
        <v>28</v>
      </c>
      <c r="Q5" s="2" t="s">
        <v>43</v>
      </c>
      <c r="R5" s="2" t="s">
        <v>44</v>
      </c>
      <c r="S5" s="2" t="s">
        <v>25</v>
      </c>
      <c r="T5" s="2"/>
      <c r="U5" s="2" t="s">
        <v>30</v>
      </c>
      <c r="V5" s="2" t="s">
        <v>30</v>
      </c>
      <c r="W5" s="2" t="s">
        <v>25</v>
      </c>
      <c r="X5" s="2" t="s">
        <v>25</v>
      </c>
      <c r="Y5" s="2"/>
      <c r="Z5" s="2"/>
      <c r="AA5" s="2"/>
    </row>
    <row r="6" spans="1:35" ht="18" x14ac:dyDescent="0.55000000000000004">
      <c r="C6" s="55" t="s">
        <v>45</v>
      </c>
      <c r="D6" s="92" t="s">
        <v>46</v>
      </c>
      <c r="E6" s="92"/>
      <c r="F6" s="92"/>
      <c r="G6" s="2"/>
      <c r="H6" s="2"/>
      <c r="I6" s="2"/>
      <c r="J6" s="2"/>
      <c r="K6" s="2"/>
      <c r="L6" s="2"/>
      <c r="M6" s="2"/>
      <c r="N6" s="2"/>
      <c r="O6" s="2"/>
      <c r="P6" s="2"/>
      <c r="Q6" s="2"/>
      <c r="R6" s="2"/>
      <c r="S6" s="2"/>
      <c r="T6" s="2"/>
      <c r="U6" s="2"/>
      <c r="V6" s="2"/>
      <c r="W6" s="2"/>
      <c r="X6" s="2"/>
      <c r="Y6" s="2"/>
      <c r="Z6" s="2"/>
      <c r="AA6" s="2"/>
    </row>
    <row r="7" spans="1:35" x14ac:dyDescent="0.45">
      <c r="C7" s="86" t="s">
        <v>47</v>
      </c>
      <c r="D7" s="87"/>
      <c r="E7" s="87"/>
      <c r="F7" s="88"/>
      <c r="G7" s="89" t="s">
        <v>48</v>
      </c>
      <c r="H7" s="90"/>
      <c r="I7" s="90"/>
      <c r="J7" s="90"/>
      <c r="K7" s="90"/>
      <c r="L7" s="90"/>
      <c r="M7" s="90"/>
      <c r="N7" s="90"/>
      <c r="O7" s="90"/>
      <c r="P7" s="90"/>
      <c r="Q7" s="90"/>
      <c r="R7" s="90"/>
      <c r="S7" s="90"/>
      <c r="T7" s="90"/>
      <c r="U7" s="90"/>
      <c r="V7" s="90"/>
      <c r="W7" s="90"/>
      <c r="X7" s="90"/>
      <c r="Y7" s="90"/>
      <c r="Z7" s="90"/>
      <c r="AA7" s="91"/>
    </row>
    <row r="8" spans="1:35" x14ac:dyDescent="0.45">
      <c r="C8" s="93"/>
      <c r="D8" s="94"/>
      <c r="E8" s="37"/>
      <c r="F8" s="36"/>
      <c r="G8" s="38" t="s">
        <v>49</v>
      </c>
      <c r="H8" s="38" t="s">
        <v>50</v>
      </c>
      <c r="I8" s="38" t="s">
        <v>51</v>
      </c>
      <c r="J8" s="39" t="s">
        <v>49</v>
      </c>
      <c r="K8" s="39" t="s">
        <v>50</v>
      </c>
      <c r="L8" s="39" t="s">
        <v>51</v>
      </c>
      <c r="M8" s="38" t="s">
        <v>49</v>
      </c>
      <c r="N8" s="38" t="s">
        <v>50</v>
      </c>
      <c r="O8" s="38" t="s">
        <v>51</v>
      </c>
      <c r="P8" s="39" t="s">
        <v>49</v>
      </c>
      <c r="Q8" s="39" t="s">
        <v>50</v>
      </c>
      <c r="R8" s="39" t="s">
        <v>51</v>
      </c>
      <c r="S8" s="38" t="s">
        <v>49</v>
      </c>
      <c r="T8" s="38" t="s">
        <v>50</v>
      </c>
      <c r="U8" s="38" t="s">
        <v>51</v>
      </c>
      <c r="V8" s="39" t="s">
        <v>49</v>
      </c>
      <c r="W8" s="39" t="s">
        <v>50</v>
      </c>
      <c r="X8" s="39" t="s">
        <v>51</v>
      </c>
      <c r="Y8" s="38" t="s">
        <v>49</v>
      </c>
      <c r="Z8" s="38" t="s">
        <v>50</v>
      </c>
      <c r="AA8" s="40" t="s">
        <v>51</v>
      </c>
      <c r="AB8" s="34"/>
      <c r="AC8" s="34"/>
      <c r="AD8" s="34"/>
      <c r="AE8" s="34"/>
      <c r="AF8" s="34"/>
      <c r="AG8" s="34"/>
      <c r="AH8" s="34"/>
      <c r="AI8" s="34"/>
    </row>
    <row r="9" spans="1:35" ht="28.9" customHeight="1" thickBot="1" x14ac:dyDescent="0.5">
      <c r="C9" s="101" t="s">
        <v>52</v>
      </c>
      <c r="D9" s="102"/>
      <c r="E9" s="103" t="s">
        <v>53</v>
      </c>
      <c r="F9" s="102"/>
      <c r="G9" s="98" t="s">
        <v>54</v>
      </c>
      <c r="H9" s="99"/>
      <c r="I9" s="104"/>
      <c r="J9" s="95" t="s">
        <v>55</v>
      </c>
      <c r="K9" s="96"/>
      <c r="L9" s="97"/>
      <c r="M9" s="98" t="s">
        <v>56</v>
      </c>
      <c r="N9" s="99"/>
      <c r="O9" s="104"/>
      <c r="P9" s="95" t="s">
        <v>57</v>
      </c>
      <c r="Q9" s="96"/>
      <c r="R9" s="97"/>
      <c r="S9" s="98" t="s">
        <v>58</v>
      </c>
      <c r="T9" s="99"/>
      <c r="U9" s="104"/>
      <c r="V9" s="95" t="s">
        <v>59</v>
      </c>
      <c r="W9" s="96"/>
      <c r="X9" s="97"/>
      <c r="Y9" s="98" t="s">
        <v>60</v>
      </c>
      <c r="Z9" s="99"/>
      <c r="AA9" s="100"/>
      <c r="AB9" s="34"/>
      <c r="AC9" s="34"/>
      <c r="AD9" s="34"/>
      <c r="AE9" s="34"/>
      <c r="AF9" s="34"/>
      <c r="AG9" s="34"/>
      <c r="AH9" s="34"/>
      <c r="AI9" s="34"/>
    </row>
    <row r="10" spans="1:35" ht="14.65" thickBot="1" x14ac:dyDescent="0.5">
      <c r="A10" s="70" t="s">
        <v>61</v>
      </c>
      <c r="B10" s="70"/>
      <c r="C10" s="73" t="s">
        <v>22</v>
      </c>
      <c r="D10" s="74"/>
      <c r="E10" s="75" t="s">
        <v>22</v>
      </c>
      <c r="F10" s="76"/>
      <c r="G10" s="66" t="s">
        <v>37</v>
      </c>
      <c r="H10" s="67"/>
      <c r="I10" s="68"/>
      <c r="J10" s="63" t="s">
        <v>38</v>
      </c>
      <c r="K10" s="64"/>
      <c r="L10" s="65"/>
      <c r="M10" s="66" t="s">
        <v>25</v>
      </c>
      <c r="N10" s="67"/>
      <c r="O10" s="68"/>
      <c r="P10" s="63" t="s">
        <v>43</v>
      </c>
      <c r="Q10" s="64"/>
      <c r="R10" s="65"/>
      <c r="S10" s="66" t="s">
        <v>27</v>
      </c>
      <c r="T10" s="67"/>
      <c r="U10" s="68"/>
      <c r="V10" s="63" t="s">
        <v>25</v>
      </c>
      <c r="W10" s="64"/>
      <c r="X10" s="65"/>
      <c r="Y10" s="66" t="s">
        <v>29</v>
      </c>
      <c r="Z10" s="67"/>
      <c r="AA10" s="69"/>
      <c r="AB10" s="34"/>
      <c r="AC10" s="34"/>
      <c r="AD10" s="34"/>
      <c r="AE10" s="34"/>
      <c r="AF10" s="34"/>
      <c r="AG10" s="34"/>
      <c r="AH10" s="34"/>
      <c r="AI10" s="34"/>
    </row>
    <row r="11" spans="1:35" x14ac:dyDescent="0.45">
      <c r="C11" s="41">
        <v>0</v>
      </c>
      <c r="D11" s="13">
        <v>1000</v>
      </c>
      <c r="E11" s="13"/>
      <c r="F11" s="13"/>
      <c r="G11" s="14">
        <f ca="1">RANDBETWEEN(15000,25000)</f>
        <v>16509</v>
      </c>
      <c r="H11" s="14">
        <f ca="1">G11*1.15</f>
        <v>18985.349999999999</v>
      </c>
      <c r="I11" s="14">
        <f ca="1">G11*1.25</f>
        <v>20636.25</v>
      </c>
      <c r="J11" s="15">
        <f ca="1">RANDBETWEEN(100,220)</f>
        <v>150</v>
      </c>
      <c r="K11" s="15">
        <f ca="1">J11*1.15</f>
        <v>172.5</v>
      </c>
      <c r="L11" s="15">
        <f ca="1">K11*1.35</f>
        <v>232.87500000000003</v>
      </c>
      <c r="M11" s="14">
        <f ca="1">RANDBETWEEN(800,1200)</f>
        <v>987</v>
      </c>
      <c r="N11" s="14">
        <f ca="1">M11*1.15</f>
        <v>1135.05</v>
      </c>
      <c r="O11" s="14">
        <f ca="1">M11*1.35</f>
        <v>1332.45</v>
      </c>
      <c r="P11" s="15">
        <f ca="1">RANDBETWEEN(5000,12000)</f>
        <v>5651</v>
      </c>
      <c r="Q11" s="15">
        <f ca="1">P11*1.15</f>
        <v>6498.65</v>
      </c>
      <c r="R11" s="15">
        <f ca="1">P11*1.35</f>
        <v>7628.85</v>
      </c>
      <c r="S11" s="14">
        <f ca="1">RANDBETWEEN(250,500)</f>
        <v>440</v>
      </c>
      <c r="T11" s="14">
        <f ca="1">S11*1.15</f>
        <v>505.99999999999994</v>
      </c>
      <c r="U11" s="14">
        <f ca="1">S11*1.35</f>
        <v>594</v>
      </c>
      <c r="V11" s="15">
        <f ca="1">RANDBETWEEN(1000,6000)</f>
        <v>3591</v>
      </c>
      <c r="W11" s="15">
        <f ca="1">V11*1.15</f>
        <v>4129.6499999999996</v>
      </c>
      <c r="X11" s="15">
        <f ca="1">V11*1.25</f>
        <v>4488.75</v>
      </c>
      <c r="Y11" s="14">
        <f ca="1">RANDBETWEEN(100,300)</f>
        <v>124</v>
      </c>
      <c r="Z11" s="14">
        <f ca="1">Y11*1.15</f>
        <v>142.6</v>
      </c>
      <c r="AA11" s="42">
        <f ca="1">Y11*1.35</f>
        <v>167.4</v>
      </c>
      <c r="AB11" s="34"/>
      <c r="AC11" s="34"/>
      <c r="AD11" s="34"/>
      <c r="AE11" s="34"/>
      <c r="AF11" s="34"/>
      <c r="AG11" s="34"/>
      <c r="AH11" s="34"/>
      <c r="AI11" s="34"/>
    </row>
    <row r="12" spans="1:35" x14ac:dyDescent="0.45">
      <c r="C12" s="43">
        <v>1000</v>
      </c>
      <c r="D12" s="17">
        <v>5000</v>
      </c>
      <c r="E12" s="16"/>
      <c r="F12" s="18"/>
      <c r="G12" s="14">
        <f t="shared" ref="G12:G15" ca="1" si="0">RANDBETWEEN(15000,25000)</f>
        <v>17131</v>
      </c>
      <c r="H12" s="14">
        <f t="shared" ref="H12:H15" ca="1" si="1">G12*1.15</f>
        <v>19700.649999999998</v>
      </c>
      <c r="I12" s="14">
        <f t="shared" ref="I12:I15" ca="1" si="2">G12*1.25</f>
        <v>21413.75</v>
      </c>
      <c r="J12" s="15">
        <f t="shared" ref="J12:J15" ca="1" si="3">RANDBETWEEN(100,220)</f>
        <v>139</v>
      </c>
      <c r="K12" s="15">
        <f t="shared" ref="K12:K15" ca="1" si="4">J12*1.15</f>
        <v>159.85</v>
      </c>
      <c r="L12" s="15">
        <f t="shared" ref="L12:L15" ca="1" si="5">K12*1.35</f>
        <v>215.79750000000001</v>
      </c>
      <c r="M12" s="14">
        <f t="shared" ref="M12:M15" ca="1" si="6">RANDBETWEEN(800,1200)</f>
        <v>838</v>
      </c>
      <c r="N12" s="14">
        <f t="shared" ref="N12:N15" ca="1" si="7">M12*1.15</f>
        <v>963.69999999999993</v>
      </c>
      <c r="O12" s="14">
        <f t="shared" ref="O12:O15" ca="1" si="8">M12*1.35</f>
        <v>1131.3000000000002</v>
      </c>
      <c r="P12" s="15">
        <f t="shared" ref="P12:P15" ca="1" si="9">RANDBETWEEN(5000,12000)</f>
        <v>9243</v>
      </c>
      <c r="Q12" s="15">
        <f t="shared" ref="Q12:Q15" ca="1" si="10">P12*1.15</f>
        <v>10629.449999999999</v>
      </c>
      <c r="R12" s="15">
        <f t="shared" ref="R12:R15" ca="1" si="11">P12*1.35</f>
        <v>12478.050000000001</v>
      </c>
      <c r="S12" s="14">
        <f t="shared" ref="S12:S15" ca="1" si="12">RANDBETWEEN(250,500)</f>
        <v>252</v>
      </c>
      <c r="T12" s="14">
        <f t="shared" ref="T12:T15" ca="1" si="13">S12*1.15</f>
        <v>289.79999999999995</v>
      </c>
      <c r="U12" s="14">
        <f t="shared" ref="U12:U15" ca="1" si="14">S12*1.35</f>
        <v>340.20000000000005</v>
      </c>
      <c r="V12" s="15">
        <f t="shared" ref="V12:V15" ca="1" si="15">RANDBETWEEN(1000,6000)</f>
        <v>4757</v>
      </c>
      <c r="W12" s="15">
        <f t="shared" ref="W12:W15" ca="1" si="16">V12*1.15</f>
        <v>5470.5499999999993</v>
      </c>
      <c r="X12" s="15">
        <f t="shared" ref="X12:X15" ca="1" si="17">V12*1.25</f>
        <v>5946.25</v>
      </c>
      <c r="Y12" s="14">
        <f t="shared" ref="Y12:Y15" ca="1" si="18">RANDBETWEEN(100,300)</f>
        <v>167</v>
      </c>
      <c r="Z12" s="14">
        <f t="shared" ref="Z12:Z15" ca="1" si="19">Y12*1.15</f>
        <v>192.04999999999998</v>
      </c>
      <c r="AA12" s="42">
        <f t="shared" ref="AA12:AA15" ca="1" si="20">Y12*1.35</f>
        <v>225.45000000000002</v>
      </c>
      <c r="AB12" s="33"/>
      <c r="AC12" s="33"/>
      <c r="AD12" s="33"/>
      <c r="AE12" s="33"/>
      <c r="AF12" s="33"/>
      <c r="AG12" s="33"/>
      <c r="AH12" s="33"/>
      <c r="AI12" s="33"/>
    </row>
    <row r="13" spans="1:35" x14ac:dyDescent="0.45">
      <c r="C13" s="45">
        <v>5000</v>
      </c>
      <c r="D13" s="17">
        <v>7000</v>
      </c>
      <c r="E13" s="21"/>
      <c r="F13" s="18"/>
      <c r="G13" s="14">
        <f t="shared" ca="1" si="0"/>
        <v>17679</v>
      </c>
      <c r="H13" s="14">
        <f t="shared" ca="1" si="1"/>
        <v>20330.849999999999</v>
      </c>
      <c r="I13" s="14">
        <f t="shared" ca="1" si="2"/>
        <v>22098.75</v>
      </c>
      <c r="J13" s="15">
        <f t="shared" ca="1" si="3"/>
        <v>108</v>
      </c>
      <c r="K13" s="15">
        <f t="shared" ca="1" si="4"/>
        <v>124.19999999999999</v>
      </c>
      <c r="L13" s="15">
        <f t="shared" ca="1" si="5"/>
        <v>167.67</v>
      </c>
      <c r="M13" s="14">
        <f t="shared" ca="1" si="6"/>
        <v>1158</v>
      </c>
      <c r="N13" s="14">
        <f t="shared" ca="1" si="7"/>
        <v>1331.6999999999998</v>
      </c>
      <c r="O13" s="14">
        <f t="shared" ca="1" si="8"/>
        <v>1563.3000000000002</v>
      </c>
      <c r="P13" s="15">
        <f t="shared" ca="1" si="9"/>
        <v>8182</v>
      </c>
      <c r="Q13" s="15">
        <f t="shared" ca="1" si="10"/>
        <v>9409.2999999999993</v>
      </c>
      <c r="R13" s="15">
        <f t="shared" ca="1" si="11"/>
        <v>11045.7</v>
      </c>
      <c r="S13" s="14">
        <f t="shared" ca="1" si="12"/>
        <v>297</v>
      </c>
      <c r="T13" s="14">
        <f t="shared" ca="1" si="13"/>
        <v>341.54999999999995</v>
      </c>
      <c r="U13" s="14">
        <f t="shared" ca="1" si="14"/>
        <v>400.95000000000005</v>
      </c>
      <c r="V13" s="15">
        <f t="shared" ca="1" si="15"/>
        <v>3745</v>
      </c>
      <c r="W13" s="15">
        <f t="shared" ca="1" si="16"/>
        <v>4306.75</v>
      </c>
      <c r="X13" s="15">
        <f t="shared" ca="1" si="17"/>
        <v>4681.25</v>
      </c>
      <c r="Y13" s="14">
        <f t="shared" ca="1" si="18"/>
        <v>139</v>
      </c>
      <c r="Z13" s="14">
        <f t="shared" ca="1" si="19"/>
        <v>159.85</v>
      </c>
      <c r="AA13" s="42">
        <f t="shared" ca="1" si="20"/>
        <v>187.65</v>
      </c>
      <c r="AB13" s="33"/>
      <c r="AC13" s="33"/>
      <c r="AD13" s="33"/>
      <c r="AE13" s="33"/>
      <c r="AF13" s="33"/>
      <c r="AG13" s="33"/>
      <c r="AH13" s="33"/>
      <c r="AI13" s="33"/>
    </row>
    <row r="14" spans="1:35" x14ac:dyDescent="0.45">
      <c r="C14" s="45">
        <v>7000</v>
      </c>
      <c r="D14" s="17">
        <v>12500</v>
      </c>
      <c r="E14" s="21"/>
      <c r="F14" s="18"/>
      <c r="G14" s="14">
        <f t="shared" ca="1" si="0"/>
        <v>22114</v>
      </c>
      <c r="H14" s="14">
        <f t="shared" ca="1" si="1"/>
        <v>25431.1</v>
      </c>
      <c r="I14" s="14">
        <f t="shared" ca="1" si="2"/>
        <v>27642.5</v>
      </c>
      <c r="J14" s="15">
        <f t="shared" ca="1" si="3"/>
        <v>153</v>
      </c>
      <c r="K14" s="15">
        <f t="shared" ca="1" si="4"/>
        <v>175.95</v>
      </c>
      <c r="L14" s="15">
        <f t="shared" ca="1" si="5"/>
        <v>237.5325</v>
      </c>
      <c r="M14" s="14">
        <f t="shared" ca="1" si="6"/>
        <v>1078</v>
      </c>
      <c r="N14" s="14">
        <f t="shared" ca="1" si="7"/>
        <v>1239.6999999999998</v>
      </c>
      <c r="O14" s="14">
        <f t="shared" ca="1" si="8"/>
        <v>1455.3000000000002</v>
      </c>
      <c r="P14" s="15">
        <f t="shared" ca="1" si="9"/>
        <v>5898</v>
      </c>
      <c r="Q14" s="15">
        <f t="shared" ca="1" si="10"/>
        <v>6782.7</v>
      </c>
      <c r="R14" s="15">
        <f t="shared" ca="1" si="11"/>
        <v>7962.3</v>
      </c>
      <c r="S14" s="14">
        <f t="shared" ca="1" si="12"/>
        <v>473</v>
      </c>
      <c r="T14" s="14">
        <f t="shared" ca="1" si="13"/>
        <v>543.94999999999993</v>
      </c>
      <c r="U14" s="14">
        <f t="shared" ca="1" si="14"/>
        <v>638.55000000000007</v>
      </c>
      <c r="V14" s="15">
        <f t="shared" ca="1" si="15"/>
        <v>2693</v>
      </c>
      <c r="W14" s="15">
        <f t="shared" ca="1" si="16"/>
        <v>3096.95</v>
      </c>
      <c r="X14" s="15">
        <f t="shared" ca="1" si="17"/>
        <v>3366.25</v>
      </c>
      <c r="Y14" s="14">
        <f t="shared" ca="1" si="18"/>
        <v>251</v>
      </c>
      <c r="Z14" s="14">
        <f t="shared" ca="1" si="19"/>
        <v>288.64999999999998</v>
      </c>
      <c r="AA14" s="42">
        <f t="shared" ca="1" si="20"/>
        <v>338.85</v>
      </c>
      <c r="AB14" s="33"/>
      <c r="AC14" s="33"/>
      <c r="AD14" s="33"/>
      <c r="AE14" s="33"/>
      <c r="AF14" s="33"/>
      <c r="AG14" s="33"/>
      <c r="AH14" s="33"/>
      <c r="AI14" s="33"/>
    </row>
    <row r="15" spans="1:35" x14ac:dyDescent="0.45">
      <c r="C15" s="45">
        <v>12500</v>
      </c>
      <c r="D15" s="17">
        <v>22000</v>
      </c>
      <c r="E15" s="21"/>
      <c r="F15" s="18"/>
      <c r="G15" s="14">
        <f t="shared" ca="1" si="0"/>
        <v>20943</v>
      </c>
      <c r="H15" s="14">
        <f t="shared" ca="1" si="1"/>
        <v>24084.449999999997</v>
      </c>
      <c r="I15" s="14">
        <f t="shared" ca="1" si="2"/>
        <v>26178.75</v>
      </c>
      <c r="J15" s="15">
        <f t="shared" ca="1" si="3"/>
        <v>182</v>
      </c>
      <c r="K15" s="15">
        <f t="shared" ca="1" si="4"/>
        <v>209.29999999999998</v>
      </c>
      <c r="L15" s="15">
        <f t="shared" ca="1" si="5"/>
        <v>282.55500000000001</v>
      </c>
      <c r="M15" s="14">
        <f t="shared" ca="1" si="6"/>
        <v>800</v>
      </c>
      <c r="N15" s="14">
        <f t="shared" ca="1" si="7"/>
        <v>919.99999999999989</v>
      </c>
      <c r="O15" s="14">
        <f t="shared" ca="1" si="8"/>
        <v>1080</v>
      </c>
      <c r="P15" s="15">
        <f t="shared" ca="1" si="9"/>
        <v>6369</v>
      </c>
      <c r="Q15" s="15">
        <f t="shared" ca="1" si="10"/>
        <v>7324.3499999999995</v>
      </c>
      <c r="R15" s="15">
        <f t="shared" ca="1" si="11"/>
        <v>8598.1500000000015</v>
      </c>
      <c r="S15" s="14">
        <f t="shared" ca="1" si="12"/>
        <v>422</v>
      </c>
      <c r="T15" s="14">
        <f t="shared" ca="1" si="13"/>
        <v>485.29999999999995</v>
      </c>
      <c r="U15" s="14">
        <f t="shared" ca="1" si="14"/>
        <v>569.70000000000005</v>
      </c>
      <c r="V15" s="15">
        <f t="shared" ca="1" si="15"/>
        <v>4310</v>
      </c>
      <c r="W15" s="15">
        <f t="shared" ca="1" si="16"/>
        <v>4956.5</v>
      </c>
      <c r="X15" s="15">
        <f t="shared" ca="1" si="17"/>
        <v>5387.5</v>
      </c>
      <c r="Y15" s="14">
        <f t="shared" ca="1" si="18"/>
        <v>127</v>
      </c>
      <c r="Z15" s="14">
        <f t="shared" ca="1" si="19"/>
        <v>146.04999999999998</v>
      </c>
      <c r="AA15" s="42">
        <f t="shared" ca="1" si="20"/>
        <v>171.45000000000002</v>
      </c>
      <c r="AB15" s="33"/>
      <c r="AC15" s="33"/>
      <c r="AD15" s="33"/>
      <c r="AE15" s="33"/>
      <c r="AF15" s="33"/>
      <c r="AG15" s="33"/>
      <c r="AH15" s="33"/>
      <c r="AI15" s="33"/>
    </row>
    <row r="16" spans="1:35" x14ac:dyDescent="0.45">
      <c r="C16" s="45"/>
      <c r="D16" s="17"/>
      <c r="E16" s="21"/>
      <c r="F16" s="18"/>
      <c r="G16" s="22"/>
      <c r="H16" s="22"/>
      <c r="I16" s="23"/>
      <c r="J16" s="24"/>
      <c r="K16" s="24"/>
      <c r="L16" s="24"/>
      <c r="M16" s="23"/>
      <c r="N16" s="23"/>
      <c r="O16" s="23"/>
      <c r="P16" s="24"/>
      <c r="Q16" s="24"/>
      <c r="R16" s="24"/>
      <c r="S16" s="23"/>
      <c r="T16" s="19"/>
      <c r="U16" s="23"/>
      <c r="V16" s="20"/>
      <c r="W16" s="20"/>
      <c r="X16" s="20"/>
      <c r="Y16" s="19"/>
      <c r="Z16" s="19"/>
      <c r="AA16" s="44"/>
      <c r="AB16" s="33"/>
      <c r="AC16" s="33"/>
      <c r="AD16" s="33"/>
      <c r="AE16" s="33"/>
      <c r="AF16" s="33"/>
      <c r="AG16" s="33"/>
      <c r="AH16" s="33"/>
      <c r="AI16" s="33"/>
    </row>
    <row r="17" spans="1:35" x14ac:dyDescent="0.45">
      <c r="C17" s="45"/>
      <c r="D17" s="17"/>
      <c r="E17" s="21"/>
      <c r="F17" s="18"/>
      <c r="G17" s="22"/>
      <c r="H17" s="22"/>
      <c r="I17" s="23"/>
      <c r="J17" s="24"/>
      <c r="K17" s="24"/>
      <c r="L17" s="24"/>
      <c r="M17" s="23"/>
      <c r="N17" s="23"/>
      <c r="O17" s="23"/>
      <c r="P17" s="24"/>
      <c r="Q17" s="24"/>
      <c r="R17" s="24"/>
      <c r="S17" s="23"/>
      <c r="T17" s="19"/>
      <c r="U17" s="23"/>
      <c r="V17" s="20"/>
      <c r="W17" s="20"/>
      <c r="X17" s="20"/>
      <c r="Y17" s="19"/>
      <c r="Z17" s="19"/>
      <c r="AA17" s="44"/>
      <c r="AB17" s="33"/>
      <c r="AC17" s="33"/>
      <c r="AD17" s="33"/>
      <c r="AE17" s="33"/>
      <c r="AF17" s="33"/>
      <c r="AG17" s="33"/>
      <c r="AH17" s="33"/>
      <c r="AI17" s="33"/>
    </row>
    <row r="18" spans="1:35" x14ac:dyDescent="0.45">
      <c r="A18" s="35"/>
      <c r="B18" s="35"/>
      <c r="C18" s="45"/>
      <c r="D18" s="17"/>
      <c r="E18" s="21"/>
      <c r="F18" s="18"/>
      <c r="G18" s="22"/>
      <c r="H18" s="22"/>
      <c r="I18" s="23"/>
      <c r="J18" s="24"/>
      <c r="K18" s="24"/>
      <c r="L18" s="24"/>
      <c r="M18" s="23"/>
      <c r="N18" s="23"/>
      <c r="O18" s="23"/>
      <c r="P18" s="24"/>
      <c r="Q18" s="24"/>
      <c r="R18" s="24"/>
      <c r="S18" s="23"/>
      <c r="T18" s="19"/>
      <c r="U18" s="23"/>
      <c r="V18" s="20"/>
      <c r="W18" s="20"/>
      <c r="X18" s="20"/>
      <c r="Y18" s="19"/>
      <c r="Z18" s="19"/>
      <c r="AA18" s="44"/>
      <c r="AB18" s="33"/>
      <c r="AC18" s="33"/>
      <c r="AD18" s="33"/>
      <c r="AE18" s="33"/>
      <c r="AF18" s="33"/>
      <c r="AG18" s="33"/>
      <c r="AH18" s="33"/>
      <c r="AI18" s="33"/>
    </row>
    <row r="19" spans="1:35" x14ac:dyDescent="0.45">
      <c r="A19" s="35"/>
      <c r="B19" s="35"/>
      <c r="C19" s="45"/>
      <c r="D19" s="17"/>
      <c r="E19" s="21"/>
      <c r="F19" s="18"/>
      <c r="G19" s="22"/>
      <c r="H19" s="22"/>
      <c r="I19" s="23"/>
      <c r="J19" s="24"/>
      <c r="K19" s="24"/>
      <c r="L19" s="24"/>
      <c r="M19" s="23"/>
      <c r="N19" s="23"/>
      <c r="O19" s="23"/>
      <c r="P19" s="24"/>
      <c r="Q19" s="24"/>
      <c r="R19" s="24"/>
      <c r="S19" s="23"/>
      <c r="T19" s="19"/>
      <c r="U19" s="23"/>
      <c r="V19" s="20"/>
      <c r="W19" s="20"/>
      <c r="X19" s="20"/>
      <c r="Y19" s="19"/>
      <c r="Z19" s="19"/>
      <c r="AA19" s="44"/>
      <c r="AB19" s="33"/>
      <c r="AC19" s="33"/>
      <c r="AD19" s="33"/>
      <c r="AE19" s="33"/>
      <c r="AF19" s="33"/>
      <c r="AG19" s="33"/>
      <c r="AH19" s="33"/>
      <c r="AI19" s="33"/>
    </row>
    <row r="20" spans="1:35" x14ac:dyDescent="0.45">
      <c r="A20" s="35"/>
      <c r="B20" s="35"/>
      <c r="C20" s="45"/>
      <c r="D20" s="17"/>
      <c r="E20" s="21"/>
      <c r="F20" s="18"/>
      <c r="G20" s="22"/>
      <c r="H20" s="22"/>
      <c r="I20" s="23"/>
      <c r="J20" s="24"/>
      <c r="K20" s="24"/>
      <c r="L20" s="24"/>
      <c r="M20" s="23"/>
      <c r="N20" s="23"/>
      <c r="O20" s="23"/>
      <c r="P20" s="24"/>
      <c r="Q20" s="24"/>
      <c r="R20" s="24"/>
      <c r="S20" s="23"/>
      <c r="T20" s="19"/>
      <c r="U20" s="23"/>
      <c r="V20" s="20"/>
      <c r="W20" s="20"/>
      <c r="X20" s="20"/>
      <c r="Y20" s="19"/>
      <c r="Z20" s="19"/>
      <c r="AA20" s="44"/>
      <c r="AB20" s="33"/>
      <c r="AC20" s="33"/>
      <c r="AD20" s="33"/>
      <c r="AE20" s="33"/>
      <c r="AF20" s="33"/>
      <c r="AG20" s="33"/>
      <c r="AH20" s="33"/>
      <c r="AI20" s="33"/>
    </row>
    <row r="21" spans="1:35" x14ac:dyDescent="0.45">
      <c r="A21" s="35"/>
      <c r="B21" s="35"/>
      <c r="C21" s="45"/>
      <c r="D21" s="17"/>
      <c r="E21" s="21"/>
      <c r="F21" s="18"/>
      <c r="G21" s="22"/>
      <c r="H21" s="22"/>
      <c r="I21" s="23"/>
      <c r="J21" s="24"/>
      <c r="K21" s="24"/>
      <c r="L21" s="24"/>
      <c r="M21" s="23"/>
      <c r="N21" s="23"/>
      <c r="O21" s="23"/>
      <c r="P21" s="24"/>
      <c r="Q21" s="24"/>
      <c r="R21" s="24"/>
      <c r="S21" s="23"/>
      <c r="T21" s="19"/>
      <c r="U21" s="23"/>
      <c r="V21" s="20"/>
      <c r="W21" s="20"/>
      <c r="X21" s="20"/>
      <c r="Y21" s="19"/>
      <c r="Z21" s="19"/>
      <c r="AA21" s="44"/>
      <c r="AB21" s="33"/>
      <c r="AC21" s="33"/>
      <c r="AD21" s="33"/>
      <c r="AE21" s="33"/>
      <c r="AF21" s="33"/>
      <c r="AG21" s="33"/>
      <c r="AH21" s="33"/>
      <c r="AI21" s="33"/>
    </row>
    <row r="22" spans="1:35" x14ac:dyDescent="0.45">
      <c r="A22" s="35"/>
      <c r="B22" s="35"/>
      <c r="C22" s="45"/>
      <c r="D22" s="17"/>
      <c r="E22" s="21"/>
      <c r="F22" s="18"/>
      <c r="G22" s="22"/>
      <c r="H22" s="22"/>
      <c r="I22" s="23"/>
      <c r="J22" s="24"/>
      <c r="K22" s="24"/>
      <c r="L22" s="24"/>
      <c r="M22" s="23"/>
      <c r="N22" s="23"/>
      <c r="O22" s="23"/>
      <c r="P22" s="24"/>
      <c r="Q22" s="24"/>
      <c r="R22" s="24"/>
      <c r="S22" s="23"/>
      <c r="T22" s="19"/>
      <c r="U22" s="23"/>
      <c r="V22" s="20"/>
      <c r="W22" s="20"/>
      <c r="X22" s="20"/>
      <c r="Y22" s="19"/>
      <c r="Z22" s="19"/>
      <c r="AA22" s="44"/>
      <c r="AB22" s="33"/>
      <c r="AC22" s="33"/>
      <c r="AD22" s="33"/>
      <c r="AE22" s="33"/>
      <c r="AF22" s="33"/>
      <c r="AG22" s="33"/>
      <c r="AH22" s="33"/>
      <c r="AI22" s="33"/>
    </row>
    <row r="23" spans="1:35" x14ac:dyDescent="0.45">
      <c r="A23" s="35"/>
      <c r="B23" s="35"/>
      <c r="C23" s="45"/>
      <c r="D23" s="17"/>
      <c r="E23" s="21"/>
      <c r="F23" s="18"/>
      <c r="G23" s="22"/>
      <c r="H23" s="22"/>
      <c r="I23" s="23"/>
      <c r="J23" s="24"/>
      <c r="K23" s="24"/>
      <c r="L23" s="24"/>
      <c r="M23" s="23"/>
      <c r="N23" s="23"/>
      <c r="O23" s="23"/>
      <c r="P23" s="24"/>
      <c r="Q23" s="24"/>
      <c r="R23" s="24"/>
      <c r="S23" s="23"/>
      <c r="T23" s="19"/>
      <c r="U23" s="23"/>
      <c r="V23" s="20"/>
      <c r="W23" s="20"/>
      <c r="X23" s="20"/>
      <c r="Y23" s="19"/>
      <c r="Z23" s="19"/>
      <c r="AA23" s="44"/>
      <c r="AB23" s="33"/>
      <c r="AC23" s="33"/>
      <c r="AD23" s="33"/>
      <c r="AE23" s="33"/>
      <c r="AF23" s="33"/>
      <c r="AG23" s="33"/>
      <c r="AH23" s="33"/>
      <c r="AI23" s="33"/>
    </row>
    <row r="24" spans="1:35" x14ac:dyDescent="0.45">
      <c r="A24" s="35"/>
      <c r="B24" s="35"/>
      <c r="C24" s="45"/>
      <c r="D24" s="17"/>
      <c r="E24" s="21"/>
      <c r="F24" s="18"/>
      <c r="G24" s="22"/>
      <c r="H24" s="22"/>
      <c r="I24" s="23"/>
      <c r="J24" s="20"/>
      <c r="K24" s="20"/>
      <c r="L24" s="20"/>
      <c r="M24" s="23"/>
      <c r="N24" s="23"/>
      <c r="O24" s="23"/>
      <c r="P24" s="24"/>
      <c r="Q24" s="24"/>
      <c r="R24" s="24"/>
      <c r="S24" s="23"/>
      <c r="T24" s="19"/>
      <c r="U24" s="23"/>
      <c r="V24" s="20"/>
      <c r="W24" s="20"/>
      <c r="X24" s="20"/>
      <c r="Y24" s="19"/>
      <c r="Z24" s="19"/>
      <c r="AA24" s="44"/>
      <c r="AB24" s="33"/>
      <c r="AC24" s="33"/>
      <c r="AD24" s="33"/>
      <c r="AE24" s="33"/>
      <c r="AF24" s="33"/>
      <c r="AG24" s="33"/>
      <c r="AH24" s="33"/>
      <c r="AI24" s="33"/>
    </row>
    <row r="25" spans="1:35" x14ac:dyDescent="0.45">
      <c r="A25" s="35"/>
      <c r="B25" s="35"/>
      <c r="C25" s="45"/>
      <c r="D25" s="17"/>
      <c r="E25" s="21"/>
      <c r="F25" s="18"/>
      <c r="G25" s="22"/>
      <c r="H25" s="22"/>
      <c r="I25" s="23"/>
      <c r="J25" s="24"/>
      <c r="K25" s="24"/>
      <c r="L25" s="24"/>
      <c r="M25" s="23"/>
      <c r="N25" s="23"/>
      <c r="O25" s="23"/>
      <c r="P25" s="24"/>
      <c r="Q25" s="24"/>
      <c r="R25" s="24"/>
      <c r="S25" s="23"/>
      <c r="T25" s="19"/>
      <c r="U25" s="23"/>
      <c r="V25" s="20"/>
      <c r="W25" s="20"/>
      <c r="X25" s="20"/>
      <c r="Y25" s="19"/>
      <c r="Z25" s="19"/>
      <c r="AA25" s="44"/>
      <c r="AB25" s="33"/>
      <c r="AC25" s="33"/>
      <c r="AD25" s="33"/>
      <c r="AE25" s="33"/>
      <c r="AF25" s="33"/>
      <c r="AG25" s="33"/>
      <c r="AH25" s="33"/>
      <c r="AI25" s="33"/>
    </row>
    <row r="26" spans="1:35" x14ac:dyDescent="0.45">
      <c r="A26" s="35"/>
      <c r="B26" s="35"/>
      <c r="C26" s="45"/>
      <c r="D26" s="17"/>
      <c r="E26" s="21"/>
      <c r="F26" s="18"/>
      <c r="G26" s="22"/>
      <c r="H26" s="22"/>
      <c r="I26" s="23"/>
      <c r="J26" s="24"/>
      <c r="K26" s="24"/>
      <c r="L26" s="24"/>
      <c r="M26" s="23"/>
      <c r="N26" s="23"/>
      <c r="O26" s="23"/>
      <c r="P26" s="24"/>
      <c r="Q26" s="24"/>
      <c r="R26" s="24"/>
      <c r="S26" s="23"/>
      <c r="T26" s="19"/>
      <c r="U26" s="23"/>
      <c r="V26" s="20"/>
      <c r="W26" s="20"/>
      <c r="X26" s="20"/>
      <c r="Y26" s="19"/>
      <c r="Z26" s="19"/>
      <c r="AA26" s="44"/>
      <c r="AB26" s="33"/>
      <c r="AC26" s="33"/>
      <c r="AD26" s="33"/>
      <c r="AE26" s="33"/>
      <c r="AF26" s="33"/>
      <c r="AG26" s="33"/>
      <c r="AH26" s="33"/>
      <c r="AI26" s="33"/>
    </row>
    <row r="27" spans="1:35" x14ac:dyDescent="0.45">
      <c r="A27" s="35"/>
      <c r="B27" s="35"/>
      <c r="C27" s="45"/>
      <c r="D27" s="17"/>
      <c r="E27" s="21"/>
      <c r="F27" s="18"/>
      <c r="G27" s="22"/>
      <c r="H27" s="22"/>
      <c r="I27" s="23"/>
      <c r="J27" s="24"/>
      <c r="K27" s="24"/>
      <c r="L27" s="24"/>
      <c r="M27" s="23"/>
      <c r="N27" s="23"/>
      <c r="O27" s="23"/>
      <c r="P27" s="24"/>
      <c r="Q27" s="24"/>
      <c r="R27" s="24"/>
      <c r="S27" s="23"/>
      <c r="T27" s="19"/>
      <c r="U27" s="23"/>
      <c r="V27" s="20"/>
      <c r="W27" s="20"/>
      <c r="X27" s="20"/>
      <c r="Y27" s="19"/>
      <c r="Z27" s="19"/>
      <c r="AA27" s="44"/>
      <c r="AB27" s="33"/>
      <c r="AC27" s="33"/>
      <c r="AD27" s="33"/>
      <c r="AE27" s="33"/>
      <c r="AF27" s="33"/>
      <c r="AG27" s="33"/>
      <c r="AH27" s="33"/>
      <c r="AI27" s="33"/>
    </row>
    <row r="28" spans="1:35" x14ac:dyDescent="0.45">
      <c r="A28" s="35"/>
      <c r="B28" s="35"/>
      <c r="C28" s="45"/>
      <c r="D28" s="17" t="str">
        <f t="shared" ref="D28:D30" si="21">C29 &amp; ""</f>
        <v/>
      </c>
      <c r="E28" s="21"/>
      <c r="F28" s="18" t="str">
        <f t="shared" ref="F28:F30" si="22">E29 &amp; ""</f>
        <v/>
      </c>
      <c r="G28" s="22"/>
      <c r="H28" s="22"/>
      <c r="I28" s="23"/>
      <c r="J28" s="24"/>
      <c r="K28" s="24"/>
      <c r="L28" s="24"/>
      <c r="M28" s="23"/>
      <c r="N28" s="23"/>
      <c r="O28" s="23"/>
      <c r="P28" s="24"/>
      <c r="Q28" s="24"/>
      <c r="R28" s="24"/>
      <c r="S28" s="23"/>
      <c r="T28" s="19"/>
      <c r="U28" s="23"/>
      <c r="V28" s="20"/>
      <c r="W28" s="20"/>
      <c r="X28" s="20"/>
      <c r="Y28" s="19"/>
      <c r="Z28" s="19"/>
      <c r="AA28" s="44"/>
      <c r="AB28" s="33"/>
      <c r="AC28" s="33"/>
      <c r="AD28" s="33"/>
      <c r="AE28" s="33"/>
      <c r="AF28" s="33"/>
      <c r="AG28" s="33"/>
      <c r="AH28" s="33"/>
      <c r="AI28" s="33"/>
    </row>
    <row r="29" spans="1:35" x14ac:dyDescent="0.45">
      <c r="A29" s="35"/>
      <c r="B29" s="35"/>
      <c r="C29" s="45"/>
      <c r="D29" s="17" t="str">
        <f t="shared" si="21"/>
        <v/>
      </c>
      <c r="E29" s="21"/>
      <c r="F29" s="18" t="str">
        <f t="shared" si="22"/>
        <v/>
      </c>
      <c r="G29" s="22"/>
      <c r="H29" s="22"/>
      <c r="I29" s="23"/>
      <c r="J29" s="24"/>
      <c r="K29" s="24"/>
      <c r="L29" s="24"/>
      <c r="M29" s="23"/>
      <c r="N29" s="23"/>
      <c r="O29" s="23"/>
      <c r="P29" s="24"/>
      <c r="Q29" s="24"/>
      <c r="R29" s="24"/>
      <c r="S29" s="23"/>
      <c r="T29" s="19"/>
      <c r="U29" s="23"/>
      <c r="V29" s="20"/>
      <c r="W29" s="20"/>
      <c r="X29" s="20"/>
      <c r="Y29" s="19"/>
      <c r="Z29" s="19"/>
      <c r="AA29" s="44"/>
      <c r="AB29" s="33"/>
      <c r="AC29" s="33"/>
      <c r="AD29" s="33"/>
      <c r="AE29" s="33"/>
      <c r="AF29" s="33"/>
      <c r="AG29" s="33"/>
      <c r="AH29" s="33"/>
      <c r="AI29" s="33"/>
    </row>
    <row r="30" spans="1:35" x14ac:dyDescent="0.45">
      <c r="A30" s="35"/>
      <c r="B30" s="35"/>
      <c r="C30" s="45"/>
      <c r="D30" s="17" t="str">
        <f t="shared" si="21"/>
        <v/>
      </c>
      <c r="E30" s="21"/>
      <c r="F30" s="18" t="str">
        <f t="shared" si="22"/>
        <v/>
      </c>
      <c r="G30" s="22"/>
      <c r="H30" s="22"/>
      <c r="I30" s="23"/>
      <c r="J30" s="24"/>
      <c r="K30" s="24"/>
      <c r="L30" s="24"/>
      <c r="M30" s="23"/>
      <c r="N30" s="23"/>
      <c r="O30" s="23"/>
      <c r="P30" s="24"/>
      <c r="Q30" s="24"/>
      <c r="R30" s="24"/>
      <c r="S30" s="23"/>
      <c r="T30" s="19"/>
      <c r="U30" s="23"/>
      <c r="V30" s="20"/>
      <c r="W30" s="20"/>
      <c r="X30" s="20"/>
      <c r="Y30" s="19"/>
      <c r="Z30" s="19"/>
      <c r="AA30" s="44"/>
      <c r="AB30" s="33"/>
      <c r="AC30" s="33"/>
      <c r="AD30" s="33"/>
      <c r="AE30" s="33"/>
      <c r="AF30" s="33"/>
      <c r="AG30" s="33"/>
      <c r="AH30" s="33"/>
      <c r="AI30" s="33"/>
    </row>
    <row r="31" spans="1:35" x14ac:dyDescent="0.45">
      <c r="A31" s="35"/>
      <c r="B31" s="35"/>
      <c r="C31" s="46"/>
      <c r="D31" s="47"/>
      <c r="E31" s="48"/>
      <c r="F31" s="47"/>
      <c r="G31" s="49"/>
      <c r="H31" s="49"/>
      <c r="I31" s="50"/>
      <c r="J31" s="51"/>
      <c r="K31" s="51"/>
      <c r="L31" s="51"/>
      <c r="M31" s="50"/>
      <c r="N31" s="50"/>
      <c r="O31" s="50"/>
      <c r="P31" s="51"/>
      <c r="Q31" s="51"/>
      <c r="R31" s="51"/>
      <c r="S31" s="50"/>
      <c r="T31" s="52"/>
      <c r="U31" s="50"/>
      <c r="V31" s="53"/>
      <c r="W31" s="53"/>
      <c r="X31" s="53"/>
      <c r="Y31" s="52"/>
      <c r="Z31" s="52"/>
      <c r="AA31" s="54"/>
      <c r="AB31" s="33"/>
      <c r="AC31" s="33"/>
      <c r="AD31" s="33"/>
      <c r="AE31" s="33"/>
      <c r="AF31" s="33"/>
      <c r="AG31" s="33"/>
      <c r="AH31" s="33"/>
      <c r="AI31" s="33"/>
    </row>
    <row r="32" spans="1:35" x14ac:dyDescent="0.45">
      <c r="A32" s="35"/>
      <c r="B32" s="35"/>
      <c r="C32" s="28"/>
      <c r="D32" s="28"/>
      <c r="E32" s="28"/>
      <c r="F32" s="28"/>
      <c r="G32" s="28"/>
      <c r="H32" s="28"/>
      <c r="I32" s="28"/>
      <c r="J32" s="28"/>
      <c r="K32" s="28"/>
      <c r="L32" s="28"/>
      <c r="M32" s="28"/>
      <c r="N32" s="28"/>
      <c r="O32" s="28"/>
      <c r="P32" s="28"/>
      <c r="Q32" s="28"/>
      <c r="R32" s="28"/>
      <c r="S32" s="28"/>
      <c r="T32" s="28"/>
      <c r="U32" s="28"/>
      <c r="V32" s="28"/>
      <c r="W32" s="28"/>
      <c r="X32" s="28"/>
      <c r="Y32" s="28"/>
      <c r="Z32" s="28"/>
      <c r="AA32" s="28"/>
    </row>
    <row r="33" spans="1:35" x14ac:dyDescent="0.45">
      <c r="A33" s="35"/>
      <c r="B33" s="35"/>
      <c r="C33" s="28"/>
      <c r="D33" s="28"/>
      <c r="E33" s="28"/>
      <c r="F33" s="28"/>
      <c r="G33" s="28"/>
      <c r="H33" s="28"/>
      <c r="I33" s="28"/>
      <c r="J33" s="28"/>
      <c r="K33" s="28"/>
      <c r="L33" s="28"/>
      <c r="M33" s="28"/>
      <c r="N33" s="28"/>
      <c r="O33" s="28"/>
      <c r="P33" s="28"/>
      <c r="Q33" s="28"/>
      <c r="R33" s="28"/>
      <c r="S33" s="28"/>
      <c r="T33" s="28"/>
      <c r="U33" s="28"/>
      <c r="V33" s="28"/>
      <c r="W33" s="28"/>
      <c r="X33" s="28"/>
      <c r="Y33" s="28"/>
      <c r="Z33" s="28"/>
      <c r="AA33" s="28"/>
    </row>
    <row r="34" spans="1:35" x14ac:dyDescent="0.45">
      <c r="A34" s="35"/>
      <c r="B34" s="35"/>
      <c r="C34" s="85" t="s">
        <v>62</v>
      </c>
      <c r="D34" s="85"/>
      <c r="E34" s="85"/>
      <c r="F34" s="85"/>
      <c r="G34" s="85" t="s">
        <v>63</v>
      </c>
      <c r="H34" s="85"/>
      <c r="I34" s="85"/>
      <c r="J34" s="85"/>
      <c r="K34" s="85"/>
      <c r="L34" s="85"/>
      <c r="M34" s="85"/>
      <c r="N34" s="85"/>
      <c r="O34" s="28"/>
      <c r="P34" s="28"/>
      <c r="Q34" s="28"/>
      <c r="R34" s="28"/>
      <c r="S34" s="28"/>
      <c r="T34" s="28"/>
      <c r="U34" s="28"/>
      <c r="V34" s="28"/>
      <c r="W34" s="28"/>
      <c r="X34" s="28"/>
      <c r="Y34" s="28"/>
      <c r="Z34" s="28"/>
      <c r="AA34" s="28"/>
    </row>
    <row r="35" spans="1:35" ht="14.25" customHeight="1" x14ac:dyDescent="0.45">
      <c r="A35" s="35"/>
      <c r="B35" s="35"/>
      <c r="C35" s="79" t="s">
        <v>52</v>
      </c>
      <c r="D35" s="80"/>
      <c r="E35" s="79" t="s">
        <v>53</v>
      </c>
      <c r="F35" s="80"/>
      <c r="G35" s="78" t="s">
        <v>64</v>
      </c>
      <c r="H35" s="77" t="s">
        <v>65</v>
      </c>
      <c r="I35" s="78" t="s">
        <v>66</v>
      </c>
      <c r="J35" s="77" t="s">
        <v>11</v>
      </c>
      <c r="K35" s="78" t="s">
        <v>12</v>
      </c>
      <c r="L35" s="77" t="s">
        <v>67</v>
      </c>
      <c r="M35" s="78" t="s">
        <v>13</v>
      </c>
      <c r="N35" s="77" t="s">
        <v>14</v>
      </c>
      <c r="O35" s="34"/>
      <c r="P35" s="34"/>
      <c r="Q35" s="34"/>
      <c r="R35" s="34"/>
      <c r="S35" s="34"/>
      <c r="T35" s="28"/>
      <c r="U35" s="28"/>
      <c r="V35" s="28"/>
      <c r="W35" s="28"/>
      <c r="X35" s="28"/>
      <c r="Y35" s="28"/>
      <c r="Z35" s="28"/>
      <c r="AA35" s="28"/>
    </row>
    <row r="36" spans="1:35" x14ac:dyDescent="0.45">
      <c r="A36" s="34"/>
      <c r="B36" s="34"/>
      <c r="C36" s="81"/>
      <c r="D36" s="82"/>
      <c r="E36" s="81"/>
      <c r="F36" s="82"/>
      <c r="G36" s="78"/>
      <c r="H36" s="77"/>
      <c r="I36" s="78"/>
      <c r="J36" s="77"/>
      <c r="K36" s="78"/>
      <c r="L36" s="77"/>
      <c r="M36" s="78"/>
      <c r="N36" s="77"/>
      <c r="O36" s="34"/>
      <c r="P36" s="34"/>
      <c r="Q36" s="34"/>
      <c r="R36" s="34"/>
      <c r="S36" s="34"/>
      <c r="T36" s="34"/>
      <c r="U36" s="34"/>
      <c r="V36" s="34"/>
      <c r="W36" s="34"/>
      <c r="X36" s="34"/>
      <c r="Y36" s="34"/>
      <c r="Z36" s="34"/>
      <c r="AA36" s="34"/>
      <c r="AB36" s="34"/>
      <c r="AC36" s="34"/>
      <c r="AD36" s="34"/>
      <c r="AE36" s="34"/>
      <c r="AF36" s="34"/>
      <c r="AG36" s="34"/>
      <c r="AH36" s="34"/>
      <c r="AI36" s="34"/>
    </row>
    <row r="37" spans="1:35" x14ac:dyDescent="0.45">
      <c r="A37" s="70" t="s">
        <v>61</v>
      </c>
      <c r="B37" s="70"/>
      <c r="C37" s="71" t="str">
        <f>C10</f>
        <v>feet</v>
      </c>
      <c r="D37" s="71"/>
      <c r="E37" s="71" t="str">
        <f>E10</f>
        <v>feet</v>
      </c>
      <c r="F37" s="71"/>
      <c r="G37" s="12" t="s">
        <v>68</v>
      </c>
      <c r="H37" s="11" t="s">
        <v>68</v>
      </c>
      <c r="I37" s="12" t="s">
        <v>68</v>
      </c>
      <c r="J37" s="11" t="s">
        <v>28</v>
      </c>
      <c r="K37" s="12" t="s">
        <v>28</v>
      </c>
      <c r="L37" s="11" t="s">
        <v>68</v>
      </c>
      <c r="M37" s="12" t="s">
        <v>28</v>
      </c>
      <c r="N37" s="11" t="s">
        <v>31</v>
      </c>
      <c r="O37" s="72"/>
      <c r="P37" s="72"/>
      <c r="Q37" s="72"/>
      <c r="R37" s="72"/>
      <c r="S37" s="72"/>
      <c r="T37" s="72"/>
      <c r="U37" s="28"/>
      <c r="V37" s="34"/>
      <c r="W37" s="34"/>
      <c r="X37" s="34"/>
      <c r="Y37" s="34"/>
      <c r="Z37" s="34"/>
      <c r="AA37" s="34"/>
      <c r="AB37" s="72"/>
      <c r="AC37" s="72"/>
      <c r="AD37" s="72"/>
      <c r="AE37" s="72"/>
      <c r="AF37" s="72"/>
      <c r="AG37" s="72"/>
      <c r="AH37" s="72"/>
      <c r="AI37" s="72"/>
    </row>
    <row r="38" spans="1:35" ht="34.9" x14ac:dyDescent="0.45">
      <c r="A38" s="34"/>
      <c r="B38" s="34"/>
      <c r="C38" s="25">
        <v>0</v>
      </c>
      <c r="D38" s="25">
        <v>100</v>
      </c>
      <c r="E38" s="25"/>
      <c r="F38" s="25"/>
      <c r="G38" s="26" t="s">
        <v>69</v>
      </c>
      <c r="H38" s="27" t="s">
        <v>70</v>
      </c>
      <c r="I38" s="26" t="s">
        <v>71</v>
      </c>
      <c r="J38" s="27">
        <v>500</v>
      </c>
      <c r="K38" s="26">
        <v>550</v>
      </c>
      <c r="L38" s="27" t="s">
        <v>72</v>
      </c>
      <c r="M38" s="26">
        <v>150</v>
      </c>
      <c r="N38" s="27">
        <v>200</v>
      </c>
      <c r="O38" s="34"/>
      <c r="P38" s="34"/>
      <c r="Q38" s="34"/>
      <c r="R38" s="34"/>
      <c r="S38" s="34"/>
      <c r="T38" s="34"/>
      <c r="U38" s="34"/>
      <c r="V38" s="34"/>
      <c r="W38" s="34"/>
      <c r="X38" s="34"/>
      <c r="Y38" s="34"/>
      <c r="Z38" s="34"/>
      <c r="AA38" s="34"/>
      <c r="AB38" s="34"/>
      <c r="AC38" s="34"/>
      <c r="AD38" s="34"/>
      <c r="AE38" s="34"/>
      <c r="AF38" s="34"/>
      <c r="AG38" s="34"/>
      <c r="AH38" s="34"/>
      <c r="AI38" s="34"/>
    </row>
    <row r="39" spans="1:35" ht="23.25" x14ac:dyDescent="0.45">
      <c r="A39" s="35"/>
      <c r="B39" s="35"/>
      <c r="C39" s="62">
        <v>100</v>
      </c>
      <c r="D39" s="62">
        <v>5000</v>
      </c>
      <c r="E39" s="62"/>
      <c r="F39" s="62"/>
      <c r="G39" s="57" t="s">
        <v>73</v>
      </c>
      <c r="H39" s="58" t="s">
        <v>74</v>
      </c>
      <c r="I39" s="57" t="s">
        <v>75</v>
      </c>
      <c r="J39" s="58">
        <v>2000</v>
      </c>
      <c r="K39" s="57">
        <v>1800</v>
      </c>
      <c r="L39" s="58" t="s">
        <v>68</v>
      </c>
      <c r="M39" s="57">
        <v>3150</v>
      </c>
      <c r="N39" s="58">
        <v>4000</v>
      </c>
      <c r="O39" s="33"/>
      <c r="P39" s="33"/>
      <c r="Q39" s="33"/>
      <c r="R39" s="33"/>
      <c r="S39" s="33"/>
      <c r="T39" s="28"/>
      <c r="U39" s="28"/>
      <c r="V39" s="28"/>
      <c r="W39" s="28"/>
      <c r="X39" s="28"/>
      <c r="Y39" s="28"/>
      <c r="Z39" s="28"/>
      <c r="AA39" s="28"/>
    </row>
    <row r="40" spans="1:35" ht="34.9" x14ac:dyDescent="0.45">
      <c r="A40" s="35"/>
      <c r="B40" s="35"/>
      <c r="C40" s="62">
        <v>5000</v>
      </c>
      <c r="D40" s="62">
        <v>12500</v>
      </c>
      <c r="E40" s="62"/>
      <c r="F40" s="62"/>
      <c r="G40" s="57" t="s">
        <v>76</v>
      </c>
      <c r="H40" s="58" t="s">
        <v>77</v>
      </c>
      <c r="I40" s="57" t="s">
        <v>78</v>
      </c>
      <c r="J40" s="58">
        <v>3500</v>
      </c>
      <c r="K40" s="57">
        <v>3000</v>
      </c>
      <c r="L40" s="58" t="s">
        <v>79</v>
      </c>
      <c r="M40" s="57">
        <v>4100</v>
      </c>
      <c r="N40" s="58">
        <v>5200</v>
      </c>
      <c r="O40" s="33"/>
      <c r="P40" s="33"/>
      <c r="Q40" s="33"/>
      <c r="R40" s="33"/>
      <c r="S40" s="33"/>
      <c r="T40" s="28"/>
      <c r="U40" s="28"/>
      <c r="V40" s="28"/>
      <c r="W40" s="28"/>
      <c r="X40" s="28"/>
      <c r="Y40" s="28"/>
      <c r="Z40" s="28"/>
      <c r="AA40" s="28"/>
    </row>
    <row r="41" spans="1:35" x14ac:dyDescent="0.45">
      <c r="A41" s="35"/>
      <c r="B41" s="35"/>
      <c r="C41" s="62"/>
      <c r="D41" s="62"/>
      <c r="E41" s="62"/>
      <c r="F41" s="62"/>
      <c r="G41" s="57"/>
      <c r="H41" s="58"/>
      <c r="I41" s="57"/>
      <c r="J41" s="58"/>
      <c r="K41" s="57"/>
      <c r="L41" s="58"/>
      <c r="M41" s="57"/>
      <c r="N41" s="58"/>
      <c r="O41" s="33"/>
      <c r="P41" s="33"/>
      <c r="Q41" s="33"/>
      <c r="R41" s="33"/>
      <c r="S41" s="33"/>
      <c r="T41" s="28"/>
      <c r="U41" s="28"/>
      <c r="V41" s="28"/>
      <c r="W41" s="28"/>
      <c r="X41" s="28"/>
      <c r="Y41" s="28"/>
      <c r="Z41" s="28"/>
      <c r="AA41" s="28"/>
    </row>
    <row r="42" spans="1:35" x14ac:dyDescent="0.45">
      <c r="A42" s="35"/>
      <c r="B42" s="35"/>
      <c r="C42" s="62"/>
      <c r="D42" s="62"/>
      <c r="E42" s="62"/>
      <c r="F42" s="62"/>
      <c r="G42" s="57"/>
      <c r="H42" s="58"/>
      <c r="I42" s="57"/>
      <c r="J42" s="58"/>
      <c r="K42" s="57"/>
      <c r="L42" s="58"/>
      <c r="M42" s="57"/>
      <c r="N42" s="58"/>
      <c r="O42" s="33"/>
      <c r="P42" s="33"/>
      <c r="Q42" s="33"/>
      <c r="R42" s="33"/>
      <c r="S42" s="33"/>
      <c r="T42" s="28"/>
      <c r="U42" s="28"/>
      <c r="V42" s="28"/>
      <c r="W42" s="28"/>
      <c r="X42" s="28"/>
      <c r="Y42" s="28"/>
      <c r="Z42" s="28"/>
      <c r="AA42" s="28"/>
    </row>
    <row r="43" spans="1:35" x14ac:dyDescent="0.45">
      <c r="A43" s="35"/>
      <c r="B43" s="35"/>
      <c r="C43" s="62"/>
      <c r="D43" s="62"/>
      <c r="E43" s="62"/>
      <c r="F43" s="62"/>
      <c r="G43" s="57"/>
      <c r="H43" s="58"/>
      <c r="I43" s="57"/>
      <c r="J43" s="58"/>
      <c r="K43" s="57"/>
      <c r="L43" s="58"/>
      <c r="M43" s="57"/>
      <c r="N43" s="58"/>
      <c r="O43" s="33"/>
      <c r="P43" s="33"/>
      <c r="Q43" s="33"/>
      <c r="R43" s="33"/>
      <c r="S43" s="33"/>
      <c r="T43" s="28"/>
      <c r="U43" s="28"/>
      <c r="V43" s="28"/>
      <c r="W43" s="28"/>
      <c r="X43" s="28"/>
      <c r="Y43" s="28"/>
      <c r="Z43" s="28"/>
      <c r="AA43" s="28"/>
    </row>
    <row r="44" spans="1:35" x14ac:dyDescent="0.45">
      <c r="A44" s="35"/>
      <c r="B44" s="35"/>
      <c r="C44" s="62"/>
      <c r="D44" s="62"/>
      <c r="E44" s="62"/>
      <c r="F44" s="62"/>
      <c r="G44" s="57"/>
      <c r="H44" s="58"/>
      <c r="I44" s="57"/>
      <c r="J44" s="58"/>
      <c r="K44" s="57"/>
      <c r="L44" s="58"/>
      <c r="M44" s="57"/>
      <c r="N44" s="58"/>
      <c r="O44" s="33"/>
      <c r="P44" s="33"/>
      <c r="Q44" s="33"/>
      <c r="R44" s="33"/>
      <c r="S44" s="33"/>
      <c r="T44" s="28"/>
      <c r="U44" s="28"/>
      <c r="V44" s="28"/>
      <c r="W44" s="28"/>
      <c r="X44" s="28"/>
      <c r="Y44" s="28"/>
      <c r="Z44" s="28"/>
      <c r="AA44" s="28"/>
    </row>
    <row r="45" spans="1:35" x14ac:dyDescent="0.45">
      <c r="A45" s="35"/>
      <c r="B45" s="35"/>
      <c r="C45" s="62"/>
      <c r="D45" s="62"/>
      <c r="E45" s="62"/>
      <c r="F45" s="62"/>
      <c r="G45" s="57"/>
      <c r="H45" s="58"/>
      <c r="I45" s="57"/>
      <c r="J45" s="58"/>
      <c r="K45" s="57"/>
      <c r="L45" s="58"/>
      <c r="M45" s="57"/>
      <c r="N45" s="58"/>
      <c r="O45" s="33"/>
      <c r="P45" s="33"/>
      <c r="Q45" s="33"/>
      <c r="R45" s="33"/>
      <c r="S45" s="33"/>
      <c r="T45" s="28"/>
      <c r="U45" s="28"/>
      <c r="V45" s="28"/>
      <c r="W45" s="28"/>
      <c r="X45" s="28"/>
      <c r="Y45" s="28"/>
      <c r="Z45" s="28"/>
      <c r="AA45" s="28"/>
    </row>
    <row r="46" spans="1:35" x14ac:dyDescent="0.45">
      <c r="A46" s="35"/>
      <c r="B46" s="35"/>
      <c r="C46" s="62"/>
      <c r="D46" s="62"/>
      <c r="E46" s="62"/>
      <c r="F46" s="62"/>
      <c r="G46" s="57"/>
      <c r="H46" s="58"/>
      <c r="I46" s="57"/>
      <c r="J46" s="58"/>
      <c r="K46" s="57"/>
      <c r="L46" s="58"/>
      <c r="M46" s="57"/>
      <c r="N46" s="58"/>
      <c r="O46" s="33"/>
      <c r="P46" s="33"/>
      <c r="Q46" s="33"/>
      <c r="R46" s="33"/>
      <c r="S46" s="33"/>
      <c r="T46" s="28"/>
      <c r="U46" s="28"/>
      <c r="V46" s="28"/>
      <c r="W46" s="28"/>
      <c r="X46" s="28"/>
      <c r="Y46" s="28"/>
      <c r="Z46" s="28"/>
      <c r="AA46" s="28"/>
    </row>
    <row r="47" spans="1:35" x14ac:dyDescent="0.45">
      <c r="A47" s="35"/>
      <c r="B47" s="35"/>
      <c r="C47" s="62"/>
      <c r="D47" s="62"/>
      <c r="E47" s="62"/>
      <c r="F47" s="62"/>
      <c r="G47" s="57"/>
      <c r="H47" s="58"/>
      <c r="I47" s="57"/>
      <c r="J47" s="58"/>
      <c r="K47" s="57"/>
      <c r="L47" s="58"/>
      <c r="M47" s="57"/>
      <c r="N47" s="58"/>
      <c r="O47" s="33"/>
      <c r="P47" s="33"/>
      <c r="Q47" s="33"/>
      <c r="R47" s="33"/>
      <c r="S47" s="33"/>
      <c r="T47" s="28"/>
      <c r="U47" s="28"/>
      <c r="V47" s="28"/>
      <c r="W47" s="28"/>
      <c r="X47" s="28"/>
      <c r="Y47" s="28"/>
      <c r="Z47" s="28"/>
      <c r="AA47" s="28"/>
    </row>
    <row r="48" spans="1:35" x14ac:dyDescent="0.45">
      <c r="A48" s="35"/>
      <c r="B48" s="35"/>
      <c r="C48" s="62"/>
      <c r="D48" s="62"/>
      <c r="E48" s="62"/>
      <c r="F48" s="62"/>
      <c r="G48" s="57"/>
      <c r="H48" s="58"/>
      <c r="I48" s="57"/>
      <c r="J48" s="58"/>
      <c r="K48" s="57"/>
      <c r="L48" s="58"/>
      <c r="M48" s="57"/>
      <c r="N48" s="58"/>
      <c r="O48" s="33"/>
      <c r="P48" s="33"/>
      <c r="Q48" s="33"/>
      <c r="R48" s="33"/>
      <c r="S48" s="33"/>
      <c r="T48" s="28"/>
      <c r="U48" s="28"/>
      <c r="V48" s="28"/>
      <c r="W48" s="28"/>
      <c r="X48" s="28"/>
      <c r="Y48" s="28"/>
      <c r="Z48" s="28"/>
      <c r="AA48" s="28"/>
    </row>
    <row r="49" spans="1:27" x14ac:dyDescent="0.45">
      <c r="A49" s="35"/>
      <c r="B49" s="35"/>
      <c r="C49" s="62"/>
      <c r="D49" s="62"/>
      <c r="E49" s="62"/>
      <c r="F49" s="62"/>
      <c r="G49" s="57"/>
      <c r="H49" s="58"/>
      <c r="I49" s="57"/>
      <c r="J49" s="58"/>
      <c r="K49" s="57"/>
      <c r="L49" s="58"/>
      <c r="M49" s="57"/>
      <c r="N49" s="58"/>
      <c r="O49" s="33"/>
      <c r="P49" s="33"/>
      <c r="Q49" s="33"/>
      <c r="R49" s="33"/>
      <c r="S49" s="33"/>
      <c r="T49" s="28"/>
      <c r="U49" s="28"/>
      <c r="V49" s="28"/>
      <c r="W49" s="28"/>
      <c r="X49" s="28"/>
      <c r="Y49" s="28"/>
      <c r="Z49" s="28"/>
      <c r="AA49" s="28"/>
    </row>
    <row r="50" spans="1:27" x14ac:dyDescent="0.45">
      <c r="A50" s="35"/>
      <c r="B50" s="35"/>
      <c r="C50" s="62"/>
      <c r="D50" s="62"/>
      <c r="E50" s="62"/>
      <c r="F50" s="62"/>
      <c r="G50" s="57"/>
      <c r="H50" s="58"/>
      <c r="I50" s="57"/>
      <c r="J50" s="58"/>
      <c r="K50" s="57"/>
      <c r="L50" s="58"/>
      <c r="M50" s="57"/>
      <c r="N50" s="58"/>
      <c r="O50" s="33"/>
      <c r="P50" s="33"/>
      <c r="Q50" s="33"/>
      <c r="R50" s="33"/>
      <c r="S50" s="33"/>
      <c r="T50" s="28"/>
      <c r="U50" s="28"/>
      <c r="V50" s="28"/>
      <c r="W50" s="28"/>
      <c r="X50" s="28"/>
      <c r="Y50" s="28"/>
      <c r="Z50" s="28"/>
      <c r="AA50" s="28"/>
    </row>
    <row r="51" spans="1:27" x14ac:dyDescent="0.45">
      <c r="A51" s="35"/>
      <c r="B51" s="35"/>
      <c r="C51" s="62"/>
      <c r="D51" s="62"/>
      <c r="E51" s="62"/>
      <c r="F51" s="62"/>
      <c r="G51" s="57"/>
      <c r="H51" s="58"/>
      <c r="I51" s="57"/>
      <c r="J51" s="58"/>
      <c r="K51" s="57"/>
      <c r="L51" s="58"/>
      <c r="M51" s="57"/>
      <c r="N51" s="58"/>
      <c r="O51" s="33"/>
      <c r="P51" s="33"/>
      <c r="Q51" s="33"/>
      <c r="R51" s="33"/>
      <c r="S51" s="33"/>
      <c r="T51" s="28"/>
      <c r="U51" s="28"/>
      <c r="V51" s="28"/>
      <c r="W51" s="28"/>
      <c r="X51" s="28"/>
      <c r="Y51" s="28"/>
      <c r="Z51" s="28"/>
      <c r="AA51" s="28"/>
    </row>
    <row r="52" spans="1:27" x14ac:dyDescent="0.45">
      <c r="A52" s="35"/>
      <c r="B52" s="35"/>
      <c r="C52" s="62"/>
      <c r="D52" s="62"/>
      <c r="E52" s="62"/>
      <c r="F52" s="62"/>
      <c r="G52" s="57"/>
      <c r="H52" s="58"/>
      <c r="I52" s="57"/>
      <c r="J52" s="58"/>
      <c r="K52" s="57"/>
      <c r="L52" s="58"/>
      <c r="M52" s="57"/>
      <c r="N52" s="58"/>
      <c r="O52" s="33"/>
      <c r="P52" s="33"/>
      <c r="Q52" s="33"/>
      <c r="R52" s="33"/>
      <c r="S52" s="33"/>
      <c r="T52" s="28"/>
      <c r="U52" s="28"/>
      <c r="V52" s="28"/>
      <c r="W52" s="28"/>
      <c r="X52" s="28"/>
      <c r="Y52" s="28"/>
      <c r="Z52" s="28"/>
      <c r="AA52" s="28"/>
    </row>
    <row r="53" spans="1:27" x14ac:dyDescent="0.45">
      <c r="A53" s="35"/>
      <c r="B53" s="35"/>
      <c r="C53" s="62"/>
      <c r="D53" s="62"/>
      <c r="E53" s="62"/>
      <c r="F53" s="62"/>
      <c r="G53" s="57"/>
      <c r="H53" s="58"/>
      <c r="I53" s="57"/>
      <c r="J53" s="58"/>
      <c r="K53" s="57"/>
      <c r="L53" s="58"/>
      <c r="M53" s="57"/>
      <c r="N53" s="58"/>
      <c r="O53" s="33"/>
      <c r="P53" s="33"/>
      <c r="Q53" s="33"/>
      <c r="R53" s="33"/>
      <c r="S53" s="33"/>
      <c r="T53" s="28"/>
      <c r="U53" s="28"/>
      <c r="V53" s="28"/>
      <c r="W53" s="28"/>
      <c r="X53" s="28"/>
      <c r="Y53" s="28"/>
      <c r="Z53" s="28"/>
      <c r="AA53" s="28"/>
    </row>
    <row r="54" spans="1:27" x14ac:dyDescent="0.45">
      <c r="A54" s="35"/>
      <c r="B54" s="35"/>
      <c r="C54" s="62"/>
      <c r="D54" s="62"/>
      <c r="E54" s="62"/>
      <c r="F54" s="62"/>
      <c r="G54" s="57"/>
      <c r="H54" s="58"/>
      <c r="I54" s="57"/>
      <c r="J54" s="58"/>
      <c r="K54" s="57"/>
      <c r="L54" s="58"/>
      <c r="M54" s="57"/>
      <c r="N54" s="58"/>
      <c r="O54" s="33"/>
      <c r="P54" s="33"/>
      <c r="Q54" s="33"/>
      <c r="R54" s="33"/>
      <c r="S54" s="33"/>
      <c r="T54" s="28"/>
      <c r="U54" s="28"/>
      <c r="V54" s="28"/>
      <c r="W54" s="28"/>
      <c r="X54" s="28"/>
      <c r="Y54" s="28"/>
      <c r="Z54" s="28"/>
      <c r="AA54" s="28"/>
    </row>
    <row r="55" spans="1:27" x14ac:dyDescent="0.45">
      <c r="A55" s="35"/>
      <c r="B55" s="35"/>
      <c r="C55" s="62"/>
      <c r="D55" s="62"/>
      <c r="E55" s="62"/>
      <c r="F55" s="62"/>
      <c r="G55" s="57"/>
      <c r="H55" s="58"/>
      <c r="I55" s="57"/>
      <c r="J55" s="58"/>
      <c r="K55" s="57"/>
      <c r="L55" s="58"/>
      <c r="M55" s="57"/>
      <c r="N55" s="58"/>
      <c r="O55" s="33"/>
      <c r="P55" s="33"/>
      <c r="Q55" s="33"/>
      <c r="R55" s="33"/>
      <c r="S55" s="33"/>
      <c r="T55" s="28"/>
      <c r="U55" s="28"/>
      <c r="V55" s="28"/>
      <c r="W55" s="28"/>
      <c r="X55" s="28"/>
      <c r="Y55" s="28"/>
      <c r="Z55" s="28"/>
      <c r="AA55" s="28"/>
    </row>
    <row r="56" spans="1:27" x14ac:dyDescent="0.45">
      <c r="A56" s="35"/>
      <c r="B56" s="35"/>
      <c r="C56" s="62"/>
      <c r="D56" s="62"/>
      <c r="E56" s="62"/>
      <c r="F56" s="62"/>
      <c r="G56" s="57"/>
      <c r="H56" s="58"/>
      <c r="I56" s="57"/>
      <c r="J56" s="58"/>
      <c r="K56" s="57"/>
      <c r="L56" s="58"/>
      <c r="M56" s="57"/>
      <c r="N56" s="58"/>
      <c r="O56" s="33"/>
      <c r="P56" s="33"/>
      <c r="Q56" s="33"/>
      <c r="R56" s="33"/>
      <c r="S56" s="33"/>
      <c r="T56" s="28"/>
      <c r="U56" s="28"/>
      <c r="V56" s="28"/>
      <c r="W56" s="28"/>
      <c r="X56" s="28"/>
      <c r="Y56" s="28"/>
      <c r="Z56" s="28"/>
      <c r="AA56" s="28"/>
    </row>
    <row r="57" spans="1:27" x14ac:dyDescent="0.45">
      <c r="A57" s="35"/>
      <c r="B57" s="35"/>
      <c r="C57" s="62"/>
      <c r="D57" s="62"/>
      <c r="E57" s="62"/>
      <c r="F57" s="62"/>
      <c r="G57" s="57"/>
      <c r="H57" s="58"/>
      <c r="I57" s="57"/>
      <c r="J57" s="58"/>
      <c r="K57" s="57"/>
      <c r="L57" s="58"/>
      <c r="M57" s="57"/>
      <c r="N57" s="58"/>
      <c r="O57" s="33"/>
      <c r="P57" s="33"/>
      <c r="Q57" s="33"/>
      <c r="R57" s="33"/>
      <c r="S57" s="33"/>
      <c r="T57" s="28"/>
      <c r="U57" s="28"/>
      <c r="V57" s="28"/>
      <c r="W57" s="28"/>
      <c r="X57" s="28"/>
      <c r="Y57" s="28"/>
      <c r="Z57" s="28"/>
      <c r="AA57" s="28"/>
    </row>
    <row r="58" spans="1:27" x14ac:dyDescent="0.45">
      <c r="A58" s="35"/>
      <c r="B58" s="35"/>
      <c r="C58" s="62"/>
      <c r="D58" s="62"/>
      <c r="E58" s="62"/>
      <c r="F58" s="62"/>
      <c r="G58" s="57"/>
      <c r="H58" s="58"/>
      <c r="I58" s="57"/>
      <c r="J58" s="58"/>
      <c r="K58" s="57"/>
      <c r="L58" s="58"/>
      <c r="M58" s="57"/>
      <c r="N58" s="58"/>
      <c r="O58" s="33"/>
      <c r="P58" s="33"/>
      <c r="Q58" s="33"/>
      <c r="R58" s="33"/>
      <c r="S58" s="33"/>
      <c r="T58" s="28"/>
      <c r="U58" s="28"/>
      <c r="V58" s="28"/>
      <c r="W58" s="28"/>
      <c r="X58" s="28"/>
      <c r="Y58" s="28"/>
      <c r="Z58" s="28"/>
      <c r="AA58" s="28"/>
    </row>
    <row r="59" spans="1:27" x14ac:dyDescent="0.45">
      <c r="A59" s="35"/>
      <c r="B59" s="35"/>
      <c r="C59" s="28" t="str">
        <f>C32 &amp; ""</f>
        <v/>
      </c>
      <c r="D59" s="28" t="str">
        <f>C60 &amp; ""</f>
        <v/>
      </c>
      <c r="E59" s="28" t="str">
        <f t="shared" ref="E59" si="23">E32 &amp; ""</f>
        <v/>
      </c>
      <c r="F59" s="28" t="str">
        <f t="shared" ref="F59" si="24">E60 &amp; ""</f>
        <v/>
      </c>
      <c r="G59" s="33"/>
      <c r="H59" s="33"/>
      <c r="I59" s="33"/>
      <c r="J59" s="33"/>
      <c r="K59" s="33"/>
      <c r="L59" s="33"/>
      <c r="M59" s="33"/>
      <c r="N59" s="33"/>
      <c r="O59" s="33"/>
      <c r="P59" s="33"/>
      <c r="Q59" s="33"/>
      <c r="R59" s="33"/>
      <c r="S59" s="33"/>
      <c r="T59" s="28"/>
      <c r="U59" s="28"/>
      <c r="V59" s="28"/>
      <c r="W59" s="28"/>
      <c r="X59" s="28"/>
      <c r="Y59" s="28"/>
      <c r="Z59" s="28"/>
      <c r="AA59" s="28"/>
    </row>
    <row r="60" spans="1:27" x14ac:dyDescent="0.45">
      <c r="A60" s="35"/>
      <c r="B60" s="35"/>
      <c r="C60" s="28"/>
      <c r="D60" s="28"/>
      <c r="E60" s="28"/>
      <c r="F60" s="28"/>
      <c r="G60" s="28"/>
      <c r="H60" s="28"/>
      <c r="I60" s="28"/>
      <c r="J60" s="28"/>
      <c r="K60" s="28"/>
      <c r="L60" s="28"/>
      <c r="M60" s="28"/>
      <c r="N60" s="28"/>
      <c r="O60" s="28"/>
      <c r="P60" s="28"/>
      <c r="Q60" s="28"/>
      <c r="R60" s="28"/>
      <c r="S60" s="28"/>
      <c r="T60" s="28"/>
      <c r="U60" s="28"/>
      <c r="V60" s="28"/>
      <c r="W60" s="28"/>
      <c r="X60" s="28"/>
      <c r="Y60" s="28"/>
      <c r="Z60" s="28"/>
      <c r="AA60" s="28"/>
    </row>
    <row r="61" spans="1:27" x14ac:dyDescent="0.45">
      <c r="A61" s="35"/>
      <c r="B61" s="35"/>
      <c r="C61" s="28"/>
      <c r="D61" s="28"/>
      <c r="E61" s="28"/>
      <c r="F61" s="28"/>
      <c r="G61" s="28"/>
      <c r="H61" s="28"/>
      <c r="I61" s="28"/>
      <c r="J61" s="28"/>
      <c r="K61" s="28"/>
      <c r="L61" s="28"/>
      <c r="M61" s="28"/>
      <c r="N61" s="28"/>
      <c r="O61" s="28"/>
      <c r="P61" s="28"/>
      <c r="Q61" s="28"/>
      <c r="R61" s="28"/>
      <c r="S61" s="28"/>
      <c r="T61" s="28"/>
      <c r="U61" s="28"/>
      <c r="V61" s="28"/>
      <c r="W61" s="28"/>
      <c r="X61" s="28"/>
      <c r="Y61" s="28"/>
      <c r="Z61" s="28"/>
      <c r="AA61" s="28"/>
    </row>
    <row r="62" spans="1:27" x14ac:dyDescent="0.45">
      <c r="A62" s="35"/>
      <c r="B62" s="35"/>
      <c r="C62" s="28"/>
      <c r="D62" s="28"/>
      <c r="E62" s="28"/>
      <c r="F62" s="28"/>
      <c r="G62" s="28"/>
      <c r="H62" s="28"/>
      <c r="I62" s="28"/>
      <c r="J62" s="28"/>
      <c r="K62" s="28"/>
      <c r="L62" s="28"/>
      <c r="M62" s="28"/>
      <c r="N62" s="28"/>
      <c r="O62" s="28"/>
      <c r="P62" s="28"/>
      <c r="Q62" s="28"/>
      <c r="R62" s="28"/>
      <c r="S62" s="28"/>
      <c r="T62" s="28"/>
      <c r="U62" s="28"/>
      <c r="V62" s="28"/>
      <c r="W62" s="28"/>
      <c r="X62" s="28"/>
      <c r="Y62" s="28"/>
      <c r="Z62" s="28"/>
      <c r="AA62" s="28"/>
    </row>
    <row r="63" spans="1:27" x14ac:dyDescent="0.45">
      <c r="A63" s="35"/>
      <c r="B63" s="35"/>
      <c r="C63" s="28"/>
      <c r="D63" s="28"/>
      <c r="E63" s="28"/>
      <c r="F63" s="28"/>
      <c r="G63" s="28"/>
      <c r="H63" s="28"/>
      <c r="I63" s="28"/>
      <c r="J63" s="28"/>
      <c r="K63" s="28"/>
      <c r="L63" s="28"/>
      <c r="M63" s="28"/>
      <c r="N63" s="28"/>
      <c r="O63" s="28"/>
      <c r="P63" s="28"/>
      <c r="Q63" s="28"/>
      <c r="R63" s="28"/>
      <c r="S63" s="28"/>
      <c r="T63" s="28"/>
      <c r="U63" s="28"/>
      <c r="V63" s="28"/>
      <c r="W63" s="28"/>
      <c r="X63" s="28"/>
      <c r="Y63" s="28"/>
      <c r="Z63" s="28"/>
      <c r="AA63" s="28"/>
    </row>
    <row r="64" spans="1:27" x14ac:dyDescent="0.45">
      <c r="A64" s="35"/>
      <c r="B64" s="35"/>
      <c r="C64" s="28"/>
      <c r="D64" s="28"/>
      <c r="E64" s="28"/>
      <c r="F64" s="28"/>
      <c r="G64" s="28"/>
      <c r="H64" s="28"/>
      <c r="I64" s="28"/>
      <c r="J64" s="28"/>
      <c r="K64" s="28"/>
      <c r="L64" s="28"/>
      <c r="M64" s="28"/>
      <c r="N64" s="28"/>
      <c r="O64" s="28"/>
      <c r="P64" s="28"/>
      <c r="Q64" s="28"/>
      <c r="R64" s="28"/>
      <c r="S64" s="28"/>
      <c r="T64" s="28"/>
      <c r="U64" s="28"/>
      <c r="V64" s="28"/>
      <c r="W64" s="28"/>
      <c r="X64" s="28"/>
      <c r="Y64" s="28"/>
      <c r="Z64" s="28"/>
      <c r="AA64" s="28"/>
    </row>
    <row r="65" spans="1:27" x14ac:dyDescent="0.45">
      <c r="A65" s="35"/>
      <c r="B65" s="35"/>
      <c r="C65" s="72"/>
      <c r="D65" s="72"/>
      <c r="E65" s="72"/>
      <c r="F65" s="72"/>
      <c r="G65" s="72"/>
      <c r="H65" s="72"/>
      <c r="I65" s="72"/>
      <c r="J65" s="72"/>
      <c r="K65" s="72"/>
      <c r="L65" s="72"/>
      <c r="M65" s="72"/>
      <c r="N65" s="72"/>
      <c r="O65" s="72"/>
      <c r="P65" s="72"/>
      <c r="Q65" s="28"/>
      <c r="R65" s="28"/>
      <c r="S65" s="28"/>
      <c r="T65" s="28"/>
      <c r="U65" s="28"/>
      <c r="V65" s="28"/>
      <c r="W65" s="28"/>
      <c r="X65" s="28"/>
      <c r="Y65" s="28"/>
      <c r="Z65" s="28"/>
      <c r="AA65" s="28"/>
    </row>
    <row r="66" spans="1:27" x14ac:dyDescent="0.45">
      <c r="A66" s="34"/>
      <c r="B66" s="34"/>
      <c r="C66" s="72"/>
      <c r="D66" s="72"/>
      <c r="E66" s="72"/>
      <c r="F66" s="72"/>
      <c r="G66" s="72"/>
      <c r="H66" s="72"/>
      <c r="I66" s="72"/>
      <c r="J66" s="72"/>
      <c r="K66" s="72"/>
      <c r="L66" s="72"/>
      <c r="M66" s="72"/>
      <c r="N66" s="72"/>
      <c r="O66" s="72"/>
      <c r="P66" s="72"/>
      <c r="Q66" s="28"/>
      <c r="R66" s="28"/>
      <c r="S66" s="28"/>
      <c r="T66" s="28"/>
      <c r="U66" s="28"/>
      <c r="V66" s="28"/>
      <c r="W66" s="28"/>
      <c r="X66" s="28"/>
      <c r="Y66" s="28"/>
      <c r="Z66" s="28"/>
      <c r="AA66" s="28"/>
    </row>
    <row r="67" spans="1:27" x14ac:dyDescent="0.45">
      <c r="A67" s="34"/>
      <c r="B67" s="34"/>
      <c r="C67" s="34"/>
      <c r="D67" s="34"/>
      <c r="E67" s="34"/>
      <c r="F67" s="34"/>
      <c r="G67" s="34"/>
      <c r="H67" s="34"/>
      <c r="I67" s="34"/>
      <c r="J67" s="34"/>
      <c r="K67" s="34"/>
      <c r="L67" s="34"/>
      <c r="M67" s="34"/>
      <c r="N67" s="34"/>
      <c r="O67" s="34"/>
      <c r="P67" s="34"/>
      <c r="Q67" s="28"/>
      <c r="R67" s="28"/>
      <c r="S67" s="28"/>
      <c r="T67" s="28"/>
      <c r="U67" s="28"/>
      <c r="V67" s="28"/>
      <c r="W67" s="28"/>
      <c r="X67" s="28"/>
      <c r="Y67" s="28"/>
      <c r="Z67" s="28"/>
      <c r="AA67" s="28"/>
    </row>
    <row r="68" spans="1:27" x14ac:dyDescent="0.45">
      <c r="A68" s="70"/>
      <c r="B68" s="70"/>
      <c r="C68" s="72"/>
      <c r="D68" s="72"/>
      <c r="E68" s="72"/>
      <c r="F68" s="72"/>
      <c r="G68" s="34"/>
      <c r="H68" s="34"/>
      <c r="I68" s="34"/>
      <c r="J68" s="34"/>
      <c r="K68" s="34"/>
      <c r="L68" s="34"/>
      <c r="M68" s="34"/>
      <c r="N68" s="34"/>
      <c r="O68" s="34"/>
      <c r="P68" s="34"/>
      <c r="Q68" s="28"/>
      <c r="R68" s="28"/>
      <c r="S68" s="28"/>
      <c r="T68" s="28"/>
      <c r="U68" s="28"/>
      <c r="V68" s="28"/>
      <c r="W68" s="28"/>
      <c r="X68" s="28"/>
      <c r="Y68" s="28"/>
      <c r="Z68" s="28"/>
      <c r="AA68" s="28"/>
    </row>
    <row r="69" spans="1:27" x14ac:dyDescent="0.45">
      <c r="A69" s="34"/>
      <c r="B69" s="34"/>
      <c r="C69" s="34"/>
      <c r="D69" s="34"/>
      <c r="E69" s="34"/>
      <c r="F69" s="34"/>
      <c r="G69" s="34"/>
      <c r="H69" s="34"/>
      <c r="I69" s="34"/>
      <c r="J69" s="34"/>
      <c r="K69" s="34"/>
      <c r="L69" s="34"/>
      <c r="M69" s="34"/>
      <c r="N69" s="34"/>
      <c r="O69" s="34"/>
      <c r="P69" s="34"/>
      <c r="Q69" s="28"/>
      <c r="R69" s="28"/>
      <c r="S69" s="28"/>
      <c r="T69" s="28"/>
      <c r="U69" s="28"/>
      <c r="V69" s="28"/>
      <c r="W69" s="28"/>
      <c r="X69" s="28"/>
      <c r="Y69" s="28"/>
      <c r="Z69" s="28"/>
      <c r="AA69" s="28"/>
    </row>
    <row r="70" spans="1:27" x14ac:dyDescent="0.45">
      <c r="A70" s="35"/>
      <c r="B70" s="35"/>
      <c r="C70" s="28"/>
      <c r="D70" s="28"/>
      <c r="E70" s="70"/>
      <c r="F70" s="70"/>
      <c r="G70" s="33"/>
      <c r="H70" s="33"/>
      <c r="I70" s="33"/>
      <c r="J70" s="33"/>
      <c r="K70" s="33"/>
      <c r="L70" s="33"/>
      <c r="M70" s="33"/>
      <c r="N70" s="33"/>
      <c r="O70" s="33"/>
      <c r="P70" s="33"/>
      <c r="Q70" s="28"/>
      <c r="R70" s="28"/>
      <c r="S70" s="28"/>
      <c r="T70" s="28"/>
      <c r="U70" s="28"/>
      <c r="V70" s="28"/>
      <c r="W70" s="28"/>
      <c r="X70" s="28"/>
      <c r="Y70" s="28"/>
      <c r="Z70" s="28"/>
      <c r="AA70" s="28"/>
    </row>
    <row r="71" spans="1:27" x14ac:dyDescent="0.45">
      <c r="A71" s="35"/>
      <c r="B71" s="35"/>
      <c r="C71" s="28"/>
      <c r="D71" s="28"/>
      <c r="E71" s="70"/>
      <c r="F71" s="70"/>
      <c r="G71" s="33"/>
      <c r="H71" s="33"/>
      <c r="I71" s="33"/>
      <c r="J71" s="33"/>
      <c r="K71" s="33"/>
      <c r="L71" s="33"/>
      <c r="M71" s="33"/>
      <c r="N71" s="33"/>
      <c r="O71" s="33"/>
      <c r="P71" s="33"/>
      <c r="Q71" s="28"/>
      <c r="R71" s="28"/>
      <c r="S71" s="28"/>
      <c r="T71" s="28"/>
      <c r="U71" s="28"/>
      <c r="V71" s="28"/>
      <c r="W71" s="28"/>
      <c r="X71" s="28"/>
      <c r="Y71" s="28"/>
      <c r="Z71" s="28"/>
      <c r="AA71" s="28"/>
    </row>
    <row r="72" spans="1:27" x14ac:dyDescent="0.45">
      <c r="A72" s="35"/>
      <c r="B72" s="35"/>
      <c r="C72" s="28"/>
      <c r="D72" s="28"/>
      <c r="E72" s="70"/>
      <c r="F72" s="70"/>
      <c r="G72" s="33"/>
      <c r="H72" s="33"/>
      <c r="I72" s="33"/>
      <c r="J72" s="33"/>
      <c r="K72" s="33"/>
      <c r="L72" s="33"/>
      <c r="M72" s="33"/>
      <c r="N72" s="33"/>
      <c r="O72" s="33"/>
      <c r="P72" s="33"/>
      <c r="Q72" s="28"/>
      <c r="R72" s="28"/>
      <c r="S72" s="28"/>
      <c r="T72" s="28"/>
      <c r="U72" s="28"/>
      <c r="V72" s="28"/>
      <c r="W72" s="28"/>
      <c r="X72" s="28"/>
      <c r="Y72" s="28"/>
      <c r="Z72" s="28"/>
      <c r="AA72" s="28"/>
    </row>
    <row r="73" spans="1:27" x14ac:dyDescent="0.45">
      <c r="A73" s="35"/>
      <c r="B73" s="35"/>
      <c r="C73" s="28"/>
      <c r="D73" s="28"/>
      <c r="E73" s="70"/>
      <c r="F73" s="70"/>
      <c r="G73" s="33"/>
      <c r="H73" s="33"/>
      <c r="I73" s="33"/>
      <c r="J73" s="33"/>
      <c r="K73" s="33"/>
      <c r="L73" s="33"/>
      <c r="M73" s="33"/>
      <c r="N73" s="33"/>
      <c r="O73" s="33"/>
      <c r="P73" s="33"/>
      <c r="Q73" s="28"/>
      <c r="R73" s="28"/>
      <c r="S73" s="28"/>
      <c r="T73" s="28"/>
      <c r="U73" s="28"/>
      <c r="V73" s="28"/>
      <c r="W73" s="28"/>
      <c r="X73" s="28"/>
      <c r="Y73" s="28"/>
      <c r="Z73" s="28"/>
      <c r="AA73" s="28"/>
    </row>
    <row r="74" spans="1:27" x14ac:dyDescent="0.45">
      <c r="A74" s="35"/>
      <c r="B74" s="35"/>
      <c r="C74" s="28"/>
      <c r="D74" s="28"/>
      <c r="E74" s="70"/>
      <c r="F74" s="70"/>
      <c r="G74" s="33"/>
      <c r="H74" s="33"/>
      <c r="I74" s="33"/>
      <c r="J74" s="33"/>
      <c r="K74" s="33"/>
      <c r="L74" s="33"/>
      <c r="M74" s="33"/>
      <c r="N74" s="33"/>
      <c r="O74" s="33"/>
      <c r="P74" s="33"/>
      <c r="Q74" s="28"/>
      <c r="R74" s="28"/>
      <c r="S74" s="28"/>
      <c r="T74" s="28"/>
      <c r="U74" s="28"/>
      <c r="V74" s="28"/>
      <c r="W74" s="28"/>
      <c r="X74" s="28"/>
      <c r="Y74" s="28"/>
      <c r="Z74" s="28"/>
      <c r="AA74" s="28"/>
    </row>
    <row r="75" spans="1:27" x14ac:dyDescent="0.45">
      <c r="A75" s="35"/>
      <c r="B75" s="35"/>
      <c r="C75" s="28"/>
      <c r="D75" s="28"/>
      <c r="E75" s="70"/>
      <c r="F75" s="70"/>
      <c r="G75" s="33"/>
      <c r="H75" s="33"/>
      <c r="I75" s="33"/>
      <c r="J75" s="33"/>
      <c r="K75" s="33"/>
      <c r="L75" s="33"/>
      <c r="M75" s="33"/>
      <c r="N75" s="33"/>
      <c r="O75" s="33"/>
      <c r="P75" s="33"/>
      <c r="Q75" s="28"/>
      <c r="R75" s="28"/>
      <c r="S75" s="28"/>
      <c r="T75" s="28"/>
      <c r="U75" s="28"/>
      <c r="V75" s="28"/>
      <c r="W75" s="28"/>
      <c r="X75" s="28"/>
      <c r="Y75" s="28"/>
      <c r="Z75" s="28"/>
      <c r="AA75" s="28"/>
    </row>
    <row r="76" spans="1:27" x14ac:dyDescent="0.45">
      <c r="A76" s="35"/>
      <c r="B76" s="35"/>
      <c r="C76" s="28"/>
      <c r="D76" s="28"/>
      <c r="E76" s="70"/>
      <c r="F76" s="70"/>
      <c r="G76" s="33"/>
      <c r="H76" s="33"/>
      <c r="I76" s="33"/>
      <c r="J76" s="33"/>
      <c r="K76" s="33"/>
      <c r="L76" s="33"/>
      <c r="M76" s="33"/>
      <c r="N76" s="33"/>
      <c r="O76" s="33"/>
      <c r="P76" s="33"/>
      <c r="Q76" s="28"/>
      <c r="R76" s="28"/>
      <c r="S76" s="28"/>
      <c r="T76" s="28"/>
      <c r="U76" s="28"/>
      <c r="V76" s="28"/>
      <c r="W76" s="28"/>
      <c r="X76" s="28"/>
      <c r="Y76" s="28"/>
      <c r="Z76" s="28"/>
      <c r="AA76" s="28"/>
    </row>
    <row r="77" spans="1:27" x14ac:dyDescent="0.45">
      <c r="A77" s="35"/>
      <c r="B77" s="35"/>
      <c r="C77" s="28"/>
      <c r="D77" s="28"/>
      <c r="E77" s="70"/>
      <c r="F77" s="70"/>
      <c r="G77" s="33"/>
      <c r="H77" s="33"/>
      <c r="I77" s="33"/>
      <c r="J77" s="33"/>
      <c r="K77" s="33"/>
      <c r="L77" s="33"/>
      <c r="M77" s="33"/>
      <c r="N77" s="33"/>
      <c r="O77" s="33"/>
      <c r="P77" s="33"/>
      <c r="Q77" s="28"/>
      <c r="R77" s="28"/>
      <c r="S77" s="28"/>
      <c r="T77" s="28"/>
      <c r="U77" s="28"/>
      <c r="V77" s="28"/>
      <c r="W77" s="28"/>
      <c r="X77" s="28"/>
      <c r="Y77" s="28"/>
      <c r="Z77" s="28"/>
      <c r="AA77" s="28"/>
    </row>
    <row r="78" spans="1:27" x14ac:dyDescent="0.45">
      <c r="A78" s="35"/>
      <c r="B78" s="35"/>
      <c r="C78" s="28"/>
      <c r="D78" s="28"/>
      <c r="E78" s="70"/>
      <c r="F78" s="70"/>
      <c r="G78" s="33"/>
      <c r="H78" s="33"/>
      <c r="I78" s="33"/>
      <c r="J78" s="33"/>
      <c r="K78" s="33"/>
      <c r="L78" s="33"/>
      <c r="M78" s="33"/>
      <c r="N78" s="33"/>
      <c r="O78" s="33"/>
      <c r="P78" s="33"/>
      <c r="Q78" s="28"/>
      <c r="R78" s="28"/>
      <c r="S78" s="28"/>
      <c r="T78" s="28"/>
      <c r="U78" s="28"/>
      <c r="V78" s="28"/>
      <c r="W78" s="28"/>
      <c r="X78" s="28"/>
      <c r="Y78" s="28"/>
      <c r="Z78" s="28"/>
      <c r="AA78" s="28"/>
    </row>
    <row r="79" spans="1:27" x14ac:dyDescent="0.45">
      <c r="A79" s="35"/>
      <c r="B79" s="35"/>
      <c r="C79" s="28"/>
      <c r="D79" s="28"/>
      <c r="E79" s="70"/>
      <c r="F79" s="70"/>
      <c r="G79" s="33"/>
      <c r="H79" s="33"/>
      <c r="I79" s="33"/>
      <c r="J79" s="33"/>
      <c r="K79" s="33"/>
      <c r="L79" s="33"/>
      <c r="M79" s="33"/>
      <c r="N79" s="33"/>
      <c r="O79" s="33"/>
      <c r="P79" s="33"/>
      <c r="Q79" s="28"/>
      <c r="R79" s="28"/>
      <c r="S79" s="28"/>
      <c r="T79" s="28"/>
      <c r="U79" s="28"/>
      <c r="V79" s="28"/>
      <c r="W79" s="28"/>
      <c r="X79" s="28"/>
      <c r="Y79" s="28"/>
      <c r="Z79" s="28"/>
      <c r="AA79" s="28"/>
    </row>
    <row r="80" spans="1:27" x14ac:dyDescent="0.45">
      <c r="A80" s="35"/>
      <c r="B80" s="35"/>
      <c r="C80" s="28"/>
      <c r="D80" s="28"/>
      <c r="E80" s="70"/>
      <c r="F80" s="70"/>
      <c r="G80" s="33"/>
      <c r="H80" s="33"/>
      <c r="I80" s="33"/>
      <c r="J80" s="33"/>
      <c r="K80" s="33"/>
      <c r="L80" s="33"/>
      <c r="M80" s="33"/>
      <c r="N80" s="33"/>
      <c r="O80" s="33"/>
      <c r="P80" s="33"/>
      <c r="Q80" s="28"/>
      <c r="R80" s="28"/>
      <c r="S80" s="28"/>
      <c r="T80" s="28"/>
      <c r="U80" s="28"/>
      <c r="V80" s="28"/>
      <c r="W80" s="28"/>
      <c r="X80" s="28"/>
      <c r="Y80" s="28"/>
      <c r="Z80" s="28"/>
      <c r="AA80" s="28"/>
    </row>
    <row r="81" spans="1:27" x14ac:dyDescent="0.45">
      <c r="A81" s="35"/>
      <c r="B81" s="35"/>
      <c r="C81" s="28"/>
      <c r="D81" s="28"/>
      <c r="E81" s="70"/>
      <c r="F81" s="70"/>
      <c r="G81" s="33"/>
      <c r="H81" s="33"/>
      <c r="I81" s="33"/>
      <c r="J81" s="33"/>
      <c r="K81" s="33"/>
      <c r="L81" s="33"/>
      <c r="M81" s="33"/>
      <c r="N81" s="33"/>
      <c r="O81" s="33"/>
      <c r="P81" s="33"/>
      <c r="Q81" s="28"/>
      <c r="R81" s="28"/>
      <c r="S81" s="28"/>
      <c r="T81" s="28"/>
      <c r="U81" s="28"/>
      <c r="V81" s="28"/>
      <c r="W81" s="28"/>
      <c r="X81" s="28"/>
      <c r="Y81" s="28"/>
      <c r="Z81" s="28"/>
      <c r="AA81" s="28"/>
    </row>
    <row r="82" spans="1:27" x14ac:dyDescent="0.45">
      <c r="A82" s="35"/>
      <c r="B82" s="35"/>
      <c r="C82" s="28"/>
      <c r="D82" s="28"/>
      <c r="E82" s="70"/>
      <c r="F82" s="70"/>
      <c r="G82" s="33"/>
      <c r="H82" s="33"/>
      <c r="I82" s="33"/>
      <c r="J82" s="33"/>
      <c r="K82" s="33"/>
      <c r="L82" s="33"/>
      <c r="M82" s="33"/>
      <c r="N82" s="33"/>
      <c r="O82" s="33"/>
      <c r="P82" s="33"/>
      <c r="Q82" s="28"/>
      <c r="R82" s="28"/>
      <c r="S82" s="28"/>
      <c r="T82" s="28"/>
      <c r="U82" s="28"/>
      <c r="V82" s="28"/>
      <c r="W82" s="28"/>
      <c r="X82" s="28"/>
      <c r="Y82" s="28"/>
      <c r="Z82" s="28"/>
      <c r="AA82" s="28"/>
    </row>
    <row r="83" spans="1:27" x14ac:dyDescent="0.45">
      <c r="A83" s="35"/>
      <c r="B83" s="35"/>
      <c r="C83" s="28"/>
      <c r="D83" s="28"/>
      <c r="E83" s="70"/>
      <c r="F83" s="70"/>
      <c r="G83" s="33"/>
      <c r="H83" s="33"/>
      <c r="I83" s="33"/>
      <c r="J83" s="33"/>
      <c r="K83" s="33"/>
      <c r="L83" s="33"/>
      <c r="M83" s="33"/>
      <c r="N83" s="33"/>
      <c r="O83" s="33"/>
      <c r="P83" s="33"/>
      <c r="Q83" s="28"/>
      <c r="R83" s="28"/>
      <c r="S83" s="28"/>
      <c r="T83" s="28"/>
      <c r="U83" s="28"/>
      <c r="V83" s="28"/>
      <c r="W83" s="28"/>
      <c r="X83" s="28"/>
      <c r="Y83" s="28"/>
      <c r="Z83" s="28"/>
      <c r="AA83" s="28"/>
    </row>
    <row r="84" spans="1:27" x14ac:dyDescent="0.45">
      <c r="A84" s="35"/>
      <c r="B84" s="35"/>
      <c r="C84" s="28"/>
      <c r="D84" s="28"/>
      <c r="E84" s="70"/>
      <c r="F84" s="70"/>
      <c r="G84" s="33"/>
      <c r="H84" s="33"/>
      <c r="I84" s="33"/>
      <c r="J84" s="33"/>
      <c r="K84" s="33"/>
      <c r="L84" s="33"/>
      <c r="M84" s="33"/>
      <c r="N84" s="33"/>
      <c r="O84" s="33"/>
      <c r="P84" s="33"/>
      <c r="Q84" s="28"/>
      <c r="R84" s="28"/>
      <c r="S84" s="28"/>
      <c r="T84" s="28"/>
      <c r="U84" s="28"/>
      <c r="V84" s="28"/>
      <c r="W84" s="28"/>
      <c r="X84" s="28"/>
      <c r="Y84" s="28"/>
      <c r="Z84" s="28"/>
      <c r="AA84" s="28"/>
    </row>
    <row r="85" spans="1:27" x14ac:dyDescent="0.45">
      <c r="A85" s="35"/>
      <c r="B85" s="35"/>
      <c r="C85" s="28"/>
      <c r="D85" s="28"/>
      <c r="E85" s="70"/>
      <c r="F85" s="70"/>
      <c r="G85" s="33"/>
      <c r="H85" s="33"/>
      <c r="I85" s="33"/>
      <c r="J85" s="33"/>
      <c r="K85" s="33"/>
      <c r="L85" s="33"/>
      <c r="M85" s="33"/>
      <c r="N85" s="33"/>
      <c r="O85" s="33"/>
      <c r="P85" s="33"/>
      <c r="Q85" s="28"/>
      <c r="R85" s="28"/>
      <c r="S85" s="28"/>
      <c r="T85" s="28"/>
      <c r="U85" s="28"/>
      <c r="V85" s="28"/>
      <c r="W85" s="28"/>
      <c r="X85" s="28"/>
      <c r="Y85" s="28"/>
      <c r="Z85" s="28"/>
      <c r="AA85" s="28"/>
    </row>
    <row r="86" spans="1:27" x14ac:dyDescent="0.45">
      <c r="A86" s="35"/>
      <c r="B86" s="35"/>
      <c r="C86" s="28"/>
      <c r="D86" s="28"/>
      <c r="E86" s="70"/>
      <c r="F86" s="70"/>
      <c r="G86" s="33"/>
      <c r="H86" s="33"/>
      <c r="I86" s="33"/>
      <c r="J86" s="33"/>
      <c r="K86" s="33"/>
      <c r="L86" s="33"/>
      <c r="M86" s="33"/>
      <c r="N86" s="33"/>
      <c r="O86" s="33"/>
      <c r="P86" s="33"/>
      <c r="Q86" s="28"/>
      <c r="R86" s="28"/>
      <c r="S86" s="28"/>
      <c r="T86" s="28"/>
      <c r="U86" s="28"/>
      <c r="V86" s="28"/>
      <c r="W86" s="28"/>
      <c r="X86" s="28"/>
      <c r="Y86" s="28"/>
      <c r="Z86" s="28"/>
      <c r="AA86" s="28"/>
    </row>
    <row r="87" spans="1:27" x14ac:dyDescent="0.45">
      <c r="A87" s="35"/>
      <c r="B87" s="35"/>
      <c r="C87" s="28"/>
      <c r="D87" s="28"/>
      <c r="E87" s="70"/>
      <c r="F87" s="70"/>
      <c r="G87" s="33"/>
      <c r="H87" s="33"/>
      <c r="I87" s="33"/>
      <c r="J87" s="33"/>
      <c r="K87" s="33"/>
      <c r="L87" s="33"/>
      <c r="M87" s="33"/>
      <c r="N87" s="33"/>
      <c r="O87" s="33"/>
      <c r="P87" s="33"/>
      <c r="Q87" s="28"/>
      <c r="R87" s="28"/>
      <c r="S87" s="28"/>
      <c r="T87" s="28"/>
      <c r="U87" s="28"/>
      <c r="V87" s="28"/>
      <c r="W87" s="28"/>
      <c r="X87" s="28"/>
      <c r="Y87" s="28"/>
      <c r="Z87" s="28"/>
      <c r="AA87" s="28"/>
    </row>
    <row r="88" spans="1:27" x14ac:dyDescent="0.45">
      <c r="A88" s="35"/>
      <c r="B88" s="35"/>
      <c r="C88" s="28"/>
      <c r="D88" s="28"/>
      <c r="E88" s="70"/>
      <c r="F88" s="70"/>
      <c r="G88" s="33"/>
      <c r="H88" s="33"/>
      <c r="I88" s="33"/>
      <c r="J88" s="33"/>
      <c r="K88" s="33"/>
      <c r="L88" s="33"/>
      <c r="M88" s="33"/>
      <c r="N88" s="33"/>
      <c r="O88" s="33"/>
      <c r="P88" s="33"/>
      <c r="Q88" s="28"/>
      <c r="R88" s="28"/>
      <c r="S88" s="28"/>
      <c r="T88" s="28"/>
      <c r="U88" s="28"/>
      <c r="V88" s="28"/>
      <c r="W88" s="28"/>
      <c r="X88" s="28"/>
      <c r="Y88" s="28"/>
      <c r="Z88" s="28"/>
      <c r="AA88" s="28"/>
    </row>
    <row r="89" spans="1:27" s="28" customFormat="1" x14ac:dyDescent="0.45">
      <c r="A89" s="35"/>
      <c r="B89" s="35"/>
      <c r="E89" s="70"/>
      <c r="F89" s="70"/>
      <c r="G89" s="33"/>
      <c r="H89" s="33"/>
      <c r="I89" s="33"/>
      <c r="J89" s="33"/>
      <c r="K89" s="33"/>
      <c r="L89" s="33"/>
      <c r="M89" s="33"/>
      <c r="N89" s="33"/>
      <c r="O89" s="33"/>
      <c r="P89" s="33"/>
    </row>
    <row r="90" spans="1:27" s="28" customFormat="1" x14ac:dyDescent="0.45"/>
    <row r="91" spans="1:27" s="28" customFormat="1" x14ac:dyDescent="0.45"/>
    <row r="92" spans="1:27" s="28" customFormat="1" x14ac:dyDescent="0.45"/>
    <row r="93" spans="1:27" s="28" customFormat="1" x14ac:dyDescent="0.45"/>
    <row r="94" spans="1:27" s="28" customFormat="1" x14ac:dyDescent="0.45"/>
    <row r="95" spans="1:27" s="28" customFormat="1" x14ac:dyDescent="0.45"/>
    <row r="96" spans="1:27" s="28" customFormat="1" x14ac:dyDescent="0.45"/>
    <row r="97" s="28" customFormat="1" x14ac:dyDescent="0.45"/>
    <row r="98" s="28" customFormat="1" x14ac:dyDescent="0.45"/>
    <row r="99" s="28" customFormat="1" x14ac:dyDescent="0.45"/>
    <row r="100" s="28" customFormat="1" x14ac:dyDescent="0.45"/>
    <row r="101" s="28" customFormat="1" x14ac:dyDescent="0.45"/>
    <row r="102" s="28" customFormat="1" x14ac:dyDescent="0.45"/>
    <row r="103" s="28" customFormat="1" x14ac:dyDescent="0.45"/>
    <row r="104" s="28" customFormat="1" x14ac:dyDescent="0.45"/>
    <row r="105" s="28" customFormat="1" x14ac:dyDescent="0.45"/>
    <row r="106" s="28" customFormat="1" x14ac:dyDescent="0.45"/>
    <row r="107" s="28" customFormat="1" x14ac:dyDescent="0.45"/>
    <row r="108" s="28" customFormat="1" x14ac:dyDescent="0.45"/>
    <row r="109" s="28" customFormat="1" x14ac:dyDescent="0.45"/>
    <row r="110" s="28" customFormat="1" x14ac:dyDescent="0.45"/>
    <row r="111" s="28" customFormat="1" x14ac:dyDescent="0.45"/>
    <row r="112" s="28" customFormat="1" x14ac:dyDescent="0.45"/>
    <row r="113" s="28" customFormat="1" x14ac:dyDescent="0.45"/>
    <row r="114" s="28" customFormat="1" x14ac:dyDescent="0.45"/>
    <row r="115" s="28" customFormat="1" x14ac:dyDescent="0.45"/>
    <row r="116" s="28" customFormat="1" x14ac:dyDescent="0.45"/>
    <row r="117" s="28" customFormat="1" x14ac:dyDescent="0.45"/>
    <row r="118" s="28" customFormat="1" x14ac:dyDescent="0.45"/>
    <row r="119" s="28" customFormat="1" x14ac:dyDescent="0.45"/>
    <row r="120" s="28" customFormat="1" x14ac:dyDescent="0.45"/>
    <row r="121" s="28" customFormat="1" x14ac:dyDescent="0.45"/>
    <row r="122" s="28" customFormat="1" x14ac:dyDescent="0.45"/>
    <row r="123" s="28" customFormat="1" x14ac:dyDescent="0.45"/>
    <row r="124" s="28" customFormat="1" x14ac:dyDescent="0.45"/>
    <row r="125" s="28" customFormat="1" x14ac:dyDescent="0.45"/>
    <row r="126" s="28" customFormat="1" x14ac:dyDescent="0.45"/>
    <row r="127" s="28" customFormat="1" x14ac:dyDescent="0.45"/>
    <row r="128" s="28" customFormat="1" x14ac:dyDescent="0.45"/>
    <row r="129" s="28" customFormat="1" x14ac:dyDescent="0.45"/>
    <row r="130" s="28" customFormat="1" x14ac:dyDescent="0.45"/>
    <row r="131" s="28" customFormat="1" x14ac:dyDescent="0.45"/>
    <row r="132" s="28" customFormat="1" x14ac:dyDescent="0.45"/>
    <row r="133" s="28" customFormat="1" x14ac:dyDescent="0.45"/>
    <row r="134" s="28" customFormat="1" x14ac:dyDescent="0.45"/>
    <row r="135" s="28" customFormat="1" x14ac:dyDescent="0.45"/>
    <row r="136" s="28" customFormat="1" x14ac:dyDescent="0.45"/>
    <row r="137" s="28" customFormat="1" x14ac:dyDescent="0.45"/>
    <row r="138" s="28" customFormat="1" x14ac:dyDescent="0.45"/>
    <row r="139" s="28" customFormat="1" x14ac:dyDescent="0.45"/>
    <row r="140" s="28" customFormat="1" x14ac:dyDescent="0.45"/>
    <row r="141" s="28" customFormat="1" x14ac:dyDescent="0.45"/>
    <row r="142" s="28" customFormat="1" x14ac:dyDescent="0.45"/>
    <row r="143" s="28" customFormat="1" x14ac:dyDescent="0.45"/>
    <row r="144" s="28" customFormat="1" x14ac:dyDescent="0.45"/>
    <row r="145" s="28" customFormat="1" x14ac:dyDescent="0.45"/>
    <row r="146" s="28" customFormat="1" x14ac:dyDescent="0.45"/>
    <row r="147" s="28" customFormat="1" x14ac:dyDescent="0.45"/>
    <row r="148" s="28" customFormat="1" x14ac:dyDescent="0.45"/>
    <row r="149" s="28" customFormat="1" x14ac:dyDescent="0.45"/>
  </sheetData>
  <dataConsolidate/>
  <mergeCells count="82">
    <mergeCell ref="I2:J2"/>
    <mergeCell ref="G34:N34"/>
    <mergeCell ref="C34:F34"/>
    <mergeCell ref="C7:F7"/>
    <mergeCell ref="G7:AA7"/>
    <mergeCell ref="D6:F6"/>
    <mergeCell ref="C8:D8"/>
    <mergeCell ref="V9:X9"/>
    <mergeCell ref="Y9:AA9"/>
    <mergeCell ref="C9:D9"/>
    <mergeCell ref="E9:F9"/>
    <mergeCell ref="G9:I9"/>
    <mergeCell ref="J9:L9"/>
    <mergeCell ref="M9:O9"/>
    <mergeCell ref="P9:R9"/>
    <mergeCell ref="S9:U9"/>
    <mergeCell ref="L35:L36"/>
    <mergeCell ref="M35:M36"/>
    <mergeCell ref="N35:N36"/>
    <mergeCell ref="C35:D36"/>
    <mergeCell ref="E35:F36"/>
    <mergeCell ref="G35:G36"/>
    <mergeCell ref="H35:H36"/>
    <mergeCell ref="I35:I36"/>
    <mergeCell ref="J35:J36"/>
    <mergeCell ref="K35:K36"/>
    <mergeCell ref="E75:F75"/>
    <mergeCell ref="E76:F76"/>
    <mergeCell ref="E89:F89"/>
    <mergeCell ref="E78:F78"/>
    <mergeCell ref="E79:F79"/>
    <mergeCell ref="E80:F80"/>
    <mergeCell ref="E81:F81"/>
    <mergeCell ref="E82:F82"/>
    <mergeCell ref="E83:F83"/>
    <mergeCell ref="E84:F84"/>
    <mergeCell ref="E85:F85"/>
    <mergeCell ref="E86:F86"/>
    <mergeCell ref="E87:F87"/>
    <mergeCell ref="E88:F88"/>
    <mergeCell ref="E77:F77"/>
    <mergeCell ref="A68:B68"/>
    <mergeCell ref="C68:D68"/>
    <mergeCell ref="E68:F68"/>
    <mergeCell ref="E70:F70"/>
    <mergeCell ref="N65:N66"/>
    <mergeCell ref="E72:F72"/>
    <mergeCell ref="E73:F73"/>
    <mergeCell ref="E74:F74"/>
    <mergeCell ref="AB37:AC37"/>
    <mergeCell ref="AD37:AE37"/>
    <mergeCell ref="E71:F71"/>
    <mergeCell ref="J65:J66"/>
    <mergeCell ref="K65:K66"/>
    <mergeCell ref="L65:L66"/>
    <mergeCell ref="M65:M66"/>
    <mergeCell ref="P65:P66"/>
    <mergeCell ref="O65:O66"/>
    <mergeCell ref="AF37:AG37"/>
    <mergeCell ref="AH37:AI37"/>
    <mergeCell ref="C65:C66"/>
    <mergeCell ref="D65:D66"/>
    <mergeCell ref="E65:F66"/>
    <mergeCell ref="G65:G66"/>
    <mergeCell ref="H65:H66"/>
    <mergeCell ref="I65:I66"/>
    <mergeCell ref="P10:R10"/>
    <mergeCell ref="S10:U10"/>
    <mergeCell ref="V10:X10"/>
    <mergeCell ref="Y10:AA10"/>
    <mergeCell ref="A37:B37"/>
    <mergeCell ref="C37:D37"/>
    <mergeCell ref="E37:F37"/>
    <mergeCell ref="O37:P37"/>
    <mergeCell ref="Q37:R37"/>
    <mergeCell ref="S37:T37"/>
    <mergeCell ref="A10:B10"/>
    <mergeCell ref="C10:D10"/>
    <mergeCell ref="E10:F10"/>
    <mergeCell ref="G10:I10"/>
    <mergeCell ref="J10:L10"/>
    <mergeCell ref="M10:O10"/>
  </mergeCells>
  <dataValidations count="16">
    <dataValidation type="list" allowBlank="1" showInputMessage="1" showErrorMessage="1" sqref="N37 N68:P68" xr:uid="{8D4393D6-95DE-4818-BD58-80BFD8763FED}">
      <formula1>$X$3:$X$5</formula1>
    </dataValidation>
    <dataValidation type="list" allowBlank="1" showInputMessage="1" showErrorMessage="1" sqref="M37 M68" xr:uid="{7E32B9A1-706B-41DE-8983-09A78D32A0C2}">
      <formula1>$W$3:$W$5</formula1>
    </dataValidation>
    <dataValidation type="list" allowBlank="1" showInputMessage="1" showErrorMessage="1" sqref="K37 K68" xr:uid="{30B9CC49-6BA2-40AD-9176-1D8E748082B9}">
      <formula1>$V$3:$V$5</formula1>
    </dataValidation>
    <dataValidation type="list" allowBlank="1" showInputMessage="1" showErrorMessage="1" sqref="J37 J68" xr:uid="{795BE44C-7911-426B-8F59-07B0498F9D33}">
      <formula1>$U$3:$U$5</formula1>
    </dataValidation>
    <dataValidation type="list" allowBlank="1" showInputMessage="1" showErrorMessage="1" sqref="Y10:AA10" xr:uid="{364C6F1E-8246-4735-9A9E-AE22A9E062DC}">
      <formula1>$T$3:$T$4</formula1>
    </dataValidation>
    <dataValidation type="list" allowBlank="1" showInputMessage="1" showErrorMessage="1" sqref="V10:X10" xr:uid="{2FA94FDB-37BB-48A5-B1E1-BE143B83E142}">
      <formula1>$S$3:$S$5</formula1>
    </dataValidation>
    <dataValidation type="list" allowBlank="1" showInputMessage="1" showErrorMessage="1" sqref="S10:U10" xr:uid="{DA8C1633-777D-4A65-A2F1-E30523523507}">
      <formula1>$R$3:$R$5</formula1>
    </dataValidation>
    <dataValidation type="list" allowBlank="1" showInputMessage="1" showErrorMessage="1" sqref="P10" xr:uid="{BF37CF3E-C9B9-4BCC-9A17-47725183F32B}">
      <formula1>$Q$3:$Q$5</formula1>
    </dataValidation>
    <dataValidation type="list" allowBlank="1" showInputMessage="1" showErrorMessage="1" sqref="M10:O10" xr:uid="{1D66C307-B94E-49B4-8FF4-F88AF18E7C72}">
      <formula1>$P$3:$P$5</formula1>
    </dataValidation>
    <dataValidation type="list" allowBlank="1" showInputMessage="1" showErrorMessage="1" sqref="J10:L10" xr:uid="{4F6B547B-B9A5-463A-9E83-BC43D5973319}">
      <formula1>$O$3:$O$4</formula1>
    </dataValidation>
    <dataValidation type="list" allowBlank="1" showInputMessage="1" showErrorMessage="1" sqref="G10" xr:uid="{D8E93802-AE74-44AB-826B-835DE7663306}">
      <formula1>$N$3:$N$5</formula1>
    </dataValidation>
    <dataValidation type="list" allowBlank="1" showInputMessage="1" showErrorMessage="1" sqref="C10:F10 C37:D37 C68:D68" xr:uid="{B0A8C4DB-3545-4B98-87C7-A5DA40A46246}">
      <formula1>$M$3:$M$4</formula1>
    </dataValidation>
    <dataValidation type="decimal" operator="greaterThan" allowBlank="1" showInputMessage="1" showErrorMessage="1" sqref="G70" xr:uid="{8700B9A3-5DD2-44D4-9F6A-98264F383A08}">
      <formula1>F70</formula1>
    </dataValidation>
    <dataValidation type="decimal" operator="greaterThan" allowBlank="1" showInputMessage="1" showErrorMessage="1" sqref="G32" xr:uid="{CF79200A-311F-45D8-8E5A-63BF0A0C55A1}">
      <formula1>G32</formula1>
    </dataValidation>
    <dataValidation type="decimal" operator="greaterThanOrEqual" allowBlank="1" showInputMessage="1" showErrorMessage="1" sqref="C12 E12" xr:uid="{6DE0C84E-C20E-42EA-8CD9-7FF50B8CA79D}">
      <formula1>C12</formula1>
    </dataValidation>
    <dataValidation type="decimal" operator="greaterThanOrEqual" allowBlank="1" showInputMessage="1" showErrorMessage="1" sqref="C13:C31 E13:E31" xr:uid="{A6771D12-05A5-45B5-BE5C-DA292FCB2835}">
      <formula1>C12</formula1>
    </dataValidation>
  </dataValidations>
  <hyperlinks>
    <hyperlink ref="I2" r:id="rId1" xr:uid="{EECFBA0A-3B22-45B8-B8CF-D52C144E5F34}"/>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2E26D-81F4-4EB1-8B7C-847F31427786}">
  <sheetPr codeName="Sheet3"/>
  <dimension ref="A5:I49"/>
  <sheetViews>
    <sheetView zoomScale="81" workbookViewId="0">
      <selection activeCell="B24" sqref="B24"/>
    </sheetView>
  </sheetViews>
  <sheetFormatPr defaultRowHeight="14.25" x14ac:dyDescent="0.45"/>
  <cols>
    <col min="1" max="1" width="28.59765625" customWidth="1"/>
    <col min="2" max="2" width="145.3984375" customWidth="1"/>
    <col min="3" max="3" width="19.265625" customWidth="1"/>
  </cols>
  <sheetData>
    <row r="5" spans="1:2" x14ac:dyDescent="0.45">
      <c r="A5" s="1" t="s">
        <v>80</v>
      </c>
    </row>
    <row r="6" spans="1:2" x14ac:dyDescent="0.45">
      <c r="A6" s="6" t="s">
        <v>81</v>
      </c>
      <c r="B6" s="6" t="s">
        <v>82</v>
      </c>
    </row>
    <row r="7" spans="1:2" x14ac:dyDescent="0.45">
      <c r="A7" s="3" t="s">
        <v>15</v>
      </c>
      <c r="B7" s="3" t="s">
        <v>83</v>
      </c>
    </row>
    <row r="8" spans="1:2" x14ac:dyDescent="0.45">
      <c r="A8" s="3" t="s">
        <v>16</v>
      </c>
      <c r="B8" s="3" t="s">
        <v>84</v>
      </c>
    </row>
    <row r="9" spans="1:2" x14ac:dyDescent="0.45">
      <c r="A9" s="3" t="s">
        <v>85</v>
      </c>
      <c r="B9" s="3" t="s">
        <v>86</v>
      </c>
    </row>
    <row r="10" spans="1:2" x14ac:dyDescent="0.45">
      <c r="A10" s="3" t="s">
        <v>18</v>
      </c>
      <c r="B10" s="3" t="s">
        <v>87</v>
      </c>
    </row>
    <row r="11" spans="1:2" x14ac:dyDescent="0.45">
      <c r="A11" s="3" t="s">
        <v>19</v>
      </c>
      <c r="B11" s="3" t="s">
        <v>88</v>
      </c>
    </row>
    <row r="12" spans="1:2" ht="14.65" thickBot="1" x14ac:dyDescent="0.5"/>
    <row r="13" spans="1:2" ht="14.65" thickBot="1" x14ac:dyDescent="0.5">
      <c r="A13" s="7" t="s">
        <v>89</v>
      </c>
    </row>
    <row r="14" spans="1:2" x14ac:dyDescent="0.45">
      <c r="A14" s="4" t="s">
        <v>90</v>
      </c>
      <c r="B14" s="3" t="s">
        <v>91</v>
      </c>
    </row>
    <row r="15" spans="1:2" x14ac:dyDescent="0.45">
      <c r="A15" s="3" t="s">
        <v>51</v>
      </c>
      <c r="B15" s="3" t="s">
        <v>92</v>
      </c>
    </row>
    <row r="16" spans="1:2" x14ac:dyDescent="0.45">
      <c r="A16" s="3" t="s">
        <v>93</v>
      </c>
      <c r="B16" s="3" t="s">
        <v>94</v>
      </c>
    </row>
    <row r="18" spans="1:2" x14ac:dyDescent="0.45">
      <c r="A18" s="1" t="s">
        <v>95</v>
      </c>
    </row>
    <row r="19" spans="1:2" x14ac:dyDescent="0.45">
      <c r="A19" s="8" t="s">
        <v>96</v>
      </c>
      <c r="B19" s="8" t="s">
        <v>82</v>
      </c>
    </row>
    <row r="20" spans="1:2" x14ac:dyDescent="0.45">
      <c r="A20" s="3" t="s">
        <v>97</v>
      </c>
      <c r="B20" s="3" t="s">
        <v>98</v>
      </c>
    </row>
    <row r="21" spans="1:2" x14ac:dyDescent="0.45">
      <c r="A21" s="3" t="s">
        <v>99</v>
      </c>
      <c r="B21" s="3" t="s">
        <v>100</v>
      </c>
    </row>
    <row r="22" spans="1:2" x14ac:dyDescent="0.45">
      <c r="A22" s="3" t="s">
        <v>101</v>
      </c>
      <c r="B22" t="s">
        <v>102</v>
      </c>
    </row>
    <row r="23" spans="1:2" x14ac:dyDescent="0.45">
      <c r="A23" s="3" t="s">
        <v>103</v>
      </c>
      <c r="B23" t="s">
        <v>102</v>
      </c>
    </row>
    <row r="24" spans="1:2" x14ac:dyDescent="0.45">
      <c r="A24" s="3" t="s">
        <v>4</v>
      </c>
      <c r="B24" s="3" t="s">
        <v>104</v>
      </c>
    </row>
    <row r="25" spans="1:2" x14ac:dyDescent="0.45">
      <c r="A25" s="3" t="s">
        <v>5</v>
      </c>
      <c r="B25" s="3" t="s">
        <v>105</v>
      </c>
    </row>
    <row r="26" spans="1:2" x14ac:dyDescent="0.45">
      <c r="A26" s="3" t="s">
        <v>106</v>
      </c>
      <c r="B26" s="3" t="s">
        <v>107</v>
      </c>
    </row>
    <row r="27" spans="1:2" x14ac:dyDescent="0.45">
      <c r="A27" s="3" t="s">
        <v>108</v>
      </c>
      <c r="B27" s="3" t="s">
        <v>109</v>
      </c>
    </row>
    <row r="28" spans="1:2" x14ac:dyDescent="0.45">
      <c r="A28" s="3" t="s">
        <v>8</v>
      </c>
      <c r="B28" s="3" t="s">
        <v>110</v>
      </c>
    </row>
    <row r="29" spans="1:2" x14ac:dyDescent="0.45">
      <c r="A29" s="3" t="s">
        <v>111</v>
      </c>
      <c r="B29" s="3" t="s">
        <v>112</v>
      </c>
    </row>
    <row r="30" spans="1:2" x14ac:dyDescent="0.45">
      <c r="A30" s="3" t="s">
        <v>113</v>
      </c>
      <c r="B30" s="3" t="s">
        <v>114</v>
      </c>
    </row>
    <row r="31" spans="1:2" x14ac:dyDescent="0.45">
      <c r="A31" s="3" t="s">
        <v>10</v>
      </c>
      <c r="B31" s="3" t="s">
        <v>115</v>
      </c>
    </row>
    <row r="35" spans="1:9" x14ac:dyDescent="0.45">
      <c r="A35" s="1" t="s">
        <v>116</v>
      </c>
    </row>
    <row r="36" spans="1:9" x14ac:dyDescent="0.45">
      <c r="A36" s="8" t="s">
        <v>117</v>
      </c>
      <c r="B36" s="8" t="s">
        <v>82</v>
      </c>
    </row>
    <row r="37" spans="1:9" x14ac:dyDescent="0.45">
      <c r="A37" s="3" t="s">
        <v>118</v>
      </c>
      <c r="B37" s="3" t="s">
        <v>119</v>
      </c>
    </row>
    <row r="38" spans="1:9" x14ac:dyDescent="0.45">
      <c r="A38" s="3" t="s">
        <v>120</v>
      </c>
      <c r="B38" s="3" t="s">
        <v>119</v>
      </c>
    </row>
    <row r="39" spans="1:9" x14ac:dyDescent="0.45">
      <c r="A39" s="3" t="s">
        <v>101</v>
      </c>
      <c r="B39" t="s">
        <v>102</v>
      </c>
      <c r="C39" s="3" t="s">
        <v>101</v>
      </c>
      <c r="D39" t="s">
        <v>102</v>
      </c>
      <c r="E39" s="3" t="s">
        <v>101</v>
      </c>
      <c r="F39" t="s">
        <v>102</v>
      </c>
      <c r="G39" s="3" t="s">
        <v>101</v>
      </c>
      <c r="H39" t="s">
        <v>102</v>
      </c>
      <c r="I39" s="3" t="s">
        <v>101</v>
      </c>
    </row>
    <row r="40" spans="1:9" x14ac:dyDescent="0.45">
      <c r="A40" s="3" t="s">
        <v>103</v>
      </c>
      <c r="B40" t="s">
        <v>102</v>
      </c>
      <c r="C40" s="3" t="s">
        <v>103</v>
      </c>
      <c r="D40" t="s">
        <v>102</v>
      </c>
      <c r="E40" s="3" t="s">
        <v>103</v>
      </c>
      <c r="F40" t="s">
        <v>102</v>
      </c>
      <c r="G40" s="3" t="s">
        <v>103</v>
      </c>
      <c r="H40" t="s">
        <v>102</v>
      </c>
      <c r="I40" s="3" t="s">
        <v>103</v>
      </c>
    </row>
    <row r="41" spans="1:9" x14ac:dyDescent="0.45">
      <c r="A41" s="3" t="s">
        <v>64</v>
      </c>
      <c r="B41" s="3" t="s">
        <v>121</v>
      </c>
    </row>
    <row r="42" spans="1:9" x14ac:dyDescent="0.45">
      <c r="A42" s="9" t="s">
        <v>122</v>
      </c>
      <c r="B42" s="9" t="s">
        <v>123</v>
      </c>
    </row>
    <row r="43" spans="1:9" x14ac:dyDescent="0.45">
      <c r="A43" s="9" t="s">
        <v>65</v>
      </c>
      <c r="B43" s="9" t="s">
        <v>124</v>
      </c>
    </row>
    <row r="44" spans="1:9" x14ac:dyDescent="0.45">
      <c r="A44" s="9" t="s">
        <v>66</v>
      </c>
      <c r="B44" s="9" t="s">
        <v>125</v>
      </c>
    </row>
    <row r="45" spans="1:9" x14ac:dyDescent="0.45">
      <c r="A45" s="9" t="s">
        <v>126</v>
      </c>
      <c r="B45" s="9" t="s">
        <v>127</v>
      </c>
    </row>
    <row r="46" spans="1:9" x14ac:dyDescent="0.45">
      <c r="A46" s="9" t="s">
        <v>128</v>
      </c>
      <c r="B46" s="9" t="s">
        <v>129</v>
      </c>
    </row>
    <row r="47" spans="1:9" x14ac:dyDescent="0.45">
      <c r="A47" s="9" t="s">
        <v>67</v>
      </c>
      <c r="B47" s="9" t="s">
        <v>130</v>
      </c>
    </row>
    <row r="48" spans="1:9" x14ac:dyDescent="0.45">
      <c r="A48" s="9" t="s">
        <v>13</v>
      </c>
      <c r="B48" s="9" t="s">
        <v>131</v>
      </c>
    </row>
    <row r="49" spans="1:2" x14ac:dyDescent="0.45">
      <c r="A49" s="9" t="s">
        <v>132</v>
      </c>
      <c r="B49" s="9" t="s">
        <v>133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24A7-54B8-4821-90AA-1E5E9B6D733E}">
  <sheetPr codeName="Sheet7"/>
  <dimension ref="A1:E2"/>
  <sheetViews>
    <sheetView workbookViewId="0">
      <selection activeCell="E9" sqref="E9"/>
    </sheetView>
  </sheetViews>
  <sheetFormatPr defaultRowHeight="14.25" x14ac:dyDescent="0.45"/>
  <cols>
    <col min="1" max="1" width="13.265625" customWidth="1"/>
    <col min="2" max="2" width="13" customWidth="1"/>
  </cols>
  <sheetData>
    <row r="1" spans="1:5" x14ac:dyDescent="0.45">
      <c r="A1" t="s">
        <v>134</v>
      </c>
      <c r="B1" t="s">
        <v>135</v>
      </c>
      <c r="C1" t="s">
        <v>136</v>
      </c>
      <c r="D1" t="s">
        <v>137</v>
      </c>
      <c r="E1" t="s">
        <v>19</v>
      </c>
    </row>
    <row r="2" spans="1:5" x14ac:dyDescent="0.45">
      <c r="A2" t="str">
        <f>[1]MainOverview!C4 &amp; ""</f>
        <v>Jones</v>
      </c>
      <c r="B2" t="str">
        <f>[1]MainOverview!D4 &amp; ""</f>
        <v>123459</v>
      </c>
      <c r="C2" t="str">
        <f>[1]MainOverview!E4 &amp; ""</f>
        <v>7000</v>
      </c>
      <c r="D2" t="str">
        <f>[1]MainOverview!F4 &amp; ""</f>
        <v>8.1</v>
      </c>
      <c r="E2" t="str">
        <f>[1]MainOverview!G4 &amp; ""</f>
        <v>Hess</v>
      </c>
    </row>
  </sheetData>
  <sheetProtection algorithmName="SHA-512" hashValue="NAA/DulYMcJJuyuECLWpj6w5ehYBUyFFDUUc2pX8blTBulpOTtfRFR2T5ue4aCrcg8O1TAH6OjQV9m058cKeSg==" saltValue="Z6FS5fdlELhp9phP7suJaw=="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5F921-9F93-4F61-BFC8-6316B1845A34}">
  <sheetPr codeName="Sheet8"/>
  <dimension ref="A1:Z21"/>
  <sheetViews>
    <sheetView workbookViewId="0">
      <selection activeCell="G9" sqref="G9"/>
    </sheetView>
  </sheetViews>
  <sheetFormatPr defaultRowHeight="14.25" x14ac:dyDescent="0.45"/>
  <cols>
    <col min="1" max="1" width="17.265625" customWidth="1"/>
    <col min="2" max="2" width="15.1328125" customWidth="1"/>
    <col min="3" max="3" width="14.59765625" customWidth="1"/>
    <col min="4" max="4" width="16" customWidth="1"/>
    <col min="5" max="5" width="14.59765625" customWidth="1"/>
    <col min="6" max="6" width="13.73046875" customWidth="1"/>
    <col min="7" max="7" width="13.3984375" customWidth="1"/>
    <col min="8" max="8" width="14" customWidth="1"/>
  </cols>
  <sheetData>
    <row r="1" spans="1:26" x14ac:dyDescent="0.45">
      <c r="A1" t="s">
        <v>97</v>
      </c>
      <c r="B1" t="s">
        <v>99</v>
      </c>
      <c r="C1" t="s">
        <v>2</v>
      </c>
      <c r="D1" t="s">
        <v>101</v>
      </c>
      <c r="E1" t="s">
        <v>103</v>
      </c>
      <c r="F1" t="s">
        <v>2</v>
      </c>
      <c r="G1" t="s">
        <v>138</v>
      </c>
      <c r="H1" t="s">
        <v>139</v>
      </c>
      <c r="I1" t="s">
        <v>140</v>
      </c>
      <c r="J1" t="s">
        <v>2</v>
      </c>
      <c r="K1" t="s">
        <v>141</v>
      </c>
      <c r="L1" t="s">
        <v>142</v>
      </c>
      <c r="M1" t="s">
        <v>143</v>
      </c>
      <c r="N1" t="s">
        <v>2</v>
      </c>
      <c r="O1" t="s">
        <v>144</v>
      </c>
      <c r="P1" t="s">
        <v>145</v>
      </c>
      <c r="Q1" t="s">
        <v>146</v>
      </c>
      <c r="R1" t="s">
        <v>147</v>
      </c>
      <c r="S1" t="s">
        <v>148</v>
      </c>
      <c r="T1" t="s">
        <v>149</v>
      </c>
      <c r="U1" t="s">
        <v>150</v>
      </c>
      <c r="V1" t="s">
        <v>147</v>
      </c>
      <c r="W1" t="s">
        <v>151</v>
      </c>
      <c r="X1" t="s">
        <v>152</v>
      </c>
      <c r="Y1" t="s">
        <v>153</v>
      </c>
      <c r="Z1" t="s">
        <v>147</v>
      </c>
    </row>
    <row r="2" spans="1:26" x14ac:dyDescent="0.45">
      <c r="A2" t="str">
        <f>[1]MainOverview!C12 &amp; ""</f>
        <v>2500</v>
      </c>
      <c r="B2" t="str">
        <f>[1]MainOverview!D12 &amp; ""</f>
        <v>5</v>
      </c>
      <c r="C2" t="str">
        <f>IF(B2="", "", [1]MainOverview!C$10)</f>
        <v>meters</v>
      </c>
      <c r="D2" t="str">
        <f>[1]MainOverview!E12 &amp; ""</f>
        <v>5</v>
      </c>
      <c r="E2" t="str">
        <f>[1]MainOverview!F12 &amp; ""</f>
        <v>5</v>
      </c>
      <c r="F2" t="str">
        <f>IF(E2="", "", [1]MainOverview!E$10)</f>
        <v>feet</v>
      </c>
      <c r="G2" t="str">
        <f>[1]MainOverview!G12 &amp; ""</f>
        <v>5</v>
      </c>
      <c r="H2" t="str">
        <f>[1]MainOverview!H12 &amp; ""</f>
        <v>5</v>
      </c>
      <c r="I2" t="str">
        <f>[1]MainOverview!I12 &amp; ""</f>
        <v>5</v>
      </c>
      <c r="J2" t="str">
        <f>IF(I2="", "", [1]MainOverview!G$10)</f>
        <v>lbs</v>
      </c>
      <c r="K2" t="str">
        <f>[1]MainOverview!J12 &amp; ""</f>
        <v>5</v>
      </c>
      <c r="L2" t="str">
        <f>[1]MainOverview!K12 &amp; ""</f>
        <v>5</v>
      </c>
      <c r="M2" t="str">
        <f>[1]MainOverview!L12 &amp; ""</f>
        <v>5</v>
      </c>
      <c r="N2" t="str">
        <f>IF(M2="", "", [1]MainOverview!J$10)</f>
        <v>rpm</v>
      </c>
      <c r="O2" t="str">
        <f>[1]MainOverview!M12 &amp; ""</f>
        <v>5</v>
      </c>
      <c r="P2" t="str">
        <f>[1]MainOverview!N12 &amp; ""</f>
        <v>5</v>
      </c>
      <c r="Q2" t="str">
        <f>[1]MainOverview!O12 &amp; ""</f>
        <v>5</v>
      </c>
      <c r="R2" t="str">
        <f>IF(Q2="", "", [1]MainOverview!M$10)</f>
        <v>kpa</v>
      </c>
      <c r="S2" t="str">
        <f>[1]MainOverview!O12 &amp; ""</f>
        <v>5</v>
      </c>
      <c r="T2" t="str">
        <f>[1]MainOverview!P12 &amp; ""</f>
        <v>5</v>
      </c>
      <c r="U2" t="str">
        <f>[1]MainOverview!Q12 &amp; ""</f>
        <v>5</v>
      </c>
      <c r="V2" t="str">
        <f>IF(U2="", "", [1]MainOverview!P$10)</f>
        <v>Nm</v>
      </c>
      <c r="W2" t="str">
        <f>[1]MainOverview!S12 &amp; ""</f>
        <v>5</v>
      </c>
      <c r="X2" t="str">
        <f>[1]MainOverview!T12 &amp; ""</f>
        <v>5</v>
      </c>
      <c r="Y2" t="str">
        <f>[1]MainOverview!U12 &amp; ""</f>
        <v>5</v>
      </c>
      <c r="Z2" t="str">
        <f>IF(Y2="", "", [1]MainOverview!S$10)</f>
        <v>m3/min</v>
      </c>
    </row>
    <row r="3" spans="1:26" x14ac:dyDescent="0.45">
      <c r="A3" t="str">
        <f>[1]MainOverview!C13 &amp; ""</f>
        <v>5</v>
      </c>
      <c r="B3" t="str">
        <f>[1]MainOverview!D13 &amp; ""</f>
        <v>5</v>
      </c>
      <c r="C3" t="str">
        <f>IF(B3="", "", [1]MainOverview!C$10)</f>
        <v>meters</v>
      </c>
      <c r="D3" t="str">
        <f>[1]MainOverview!E13 &amp; ""</f>
        <v>5</v>
      </c>
      <c r="E3" t="str">
        <f>[1]MainOverview!F13 &amp; ""</f>
        <v>50</v>
      </c>
      <c r="F3" t="str">
        <f>IF(E3="", "", [1]MainOverview!E$10)</f>
        <v>feet</v>
      </c>
      <c r="G3" t="str">
        <f>[1]MainOverview!G13 &amp; ""</f>
        <v>5</v>
      </c>
      <c r="H3" t="str">
        <f>[1]MainOverview!H13 &amp; ""</f>
        <v>5</v>
      </c>
      <c r="I3" t="str">
        <f>[1]MainOverview!I13 &amp; ""</f>
        <v>5</v>
      </c>
      <c r="J3" t="str">
        <f>IF(I3="", "", [1]MainOverview!G$10)</f>
        <v>lbs</v>
      </c>
      <c r="K3" t="str">
        <f>[1]MainOverview!J13 &amp; ""</f>
        <v>5</v>
      </c>
      <c r="L3" t="str">
        <f>[1]MainOverview!K13 &amp; ""</f>
        <v>5</v>
      </c>
      <c r="M3" t="str">
        <f>[1]MainOverview!L13 &amp; ""</f>
        <v>5</v>
      </c>
      <c r="N3" t="str">
        <f>IF(M3="", "", [1]MainOverview!J$10)</f>
        <v>rpm</v>
      </c>
      <c r="O3" t="str">
        <f>[1]MainOverview!M13 &amp; ""</f>
        <v>5</v>
      </c>
      <c r="P3" t="str">
        <f>[1]MainOverview!N13 &amp; ""</f>
        <v>5</v>
      </c>
      <c r="Q3" t="str">
        <f>[1]MainOverview!O13 &amp; ""</f>
        <v>5</v>
      </c>
      <c r="R3" t="str">
        <f>[1]MainOverview!T13 &amp; ""</f>
        <v>5</v>
      </c>
      <c r="S3" t="str">
        <f>[1]MainOverview!O13 &amp; ""</f>
        <v>5</v>
      </c>
      <c r="T3" t="str">
        <f>[1]MainOverview!P13 &amp; ""</f>
        <v>5</v>
      </c>
      <c r="U3" t="str">
        <f>[1]MainOverview!Q13 &amp; ""</f>
        <v>5</v>
      </c>
      <c r="V3" t="str">
        <f>IF(U3="", "", [1]MainOverview!P$10)</f>
        <v>Nm</v>
      </c>
      <c r="W3" t="str">
        <f>[1]MainOverview!S13 &amp; ""</f>
        <v>5</v>
      </c>
      <c r="X3" t="str">
        <f>[1]MainOverview!T13 &amp; ""</f>
        <v>5</v>
      </c>
      <c r="Y3" t="str">
        <f>[1]MainOverview!U13 &amp; ""</f>
        <v>5</v>
      </c>
      <c r="Z3" t="str">
        <f>IF(Y3="", "", [1]MainOverview!S$10)</f>
        <v>m3/min</v>
      </c>
    </row>
    <row r="4" spans="1:26" x14ac:dyDescent="0.45">
      <c r="A4" t="str">
        <f>[1]MainOverview!C14 &amp; ""</f>
        <v>5</v>
      </c>
      <c r="B4" t="str">
        <f>[1]MainOverview!D14 &amp; ""</f>
        <v>5</v>
      </c>
      <c r="C4" t="str">
        <f>IF(B4="", "", [1]MainOverview!C$10)</f>
        <v>meters</v>
      </c>
      <c r="D4" t="str">
        <f>[1]MainOverview!E14 &amp; ""</f>
        <v>5</v>
      </c>
      <c r="E4" t="str">
        <f>[1]MainOverview!F14 &amp; ""</f>
        <v>5</v>
      </c>
      <c r="F4" t="str">
        <f>IF(E4="", "", [1]MainOverview!E$10)</f>
        <v>feet</v>
      </c>
      <c r="G4" t="str">
        <f>[1]MainOverview!G14 &amp; ""</f>
        <v>5</v>
      </c>
      <c r="H4" t="str">
        <f>[1]MainOverview!H14 &amp; ""</f>
        <v>5</v>
      </c>
      <c r="I4" t="str">
        <f>[1]MainOverview!I14 &amp; ""</f>
        <v>5</v>
      </c>
      <c r="J4" t="str">
        <f>IF(I4="", "", [1]MainOverview!G$10)</f>
        <v>lbs</v>
      </c>
      <c r="K4" t="str">
        <f>[1]MainOverview!J14 &amp; ""</f>
        <v>5</v>
      </c>
      <c r="L4" t="str">
        <f>[1]MainOverview!K14 &amp; ""</f>
        <v>5</v>
      </c>
      <c r="M4" t="str">
        <f>[1]MainOverview!L14 &amp; ""</f>
        <v>5</v>
      </c>
      <c r="N4" t="str">
        <f>IF(M4="", "", [1]MainOverview!J$10)</f>
        <v>rpm</v>
      </c>
      <c r="O4" t="str">
        <f>[1]MainOverview!M14 &amp; ""</f>
        <v>5</v>
      </c>
      <c r="P4" t="str">
        <f>[1]MainOverview!N14 &amp; ""</f>
        <v>5</v>
      </c>
      <c r="Q4" t="str">
        <f>[1]MainOverview!O14 &amp; ""</f>
        <v>5</v>
      </c>
      <c r="R4" t="str">
        <f>[1]MainOverview!T14 &amp; ""</f>
        <v>5</v>
      </c>
      <c r="S4" t="str">
        <f>[1]MainOverview!O14 &amp; ""</f>
        <v>5</v>
      </c>
      <c r="T4" t="str">
        <f>[1]MainOverview!P14 &amp; ""</f>
        <v>5</v>
      </c>
      <c r="U4" t="str">
        <f>[1]MainOverview!Q14 &amp; ""</f>
        <v>5</v>
      </c>
      <c r="V4" t="str">
        <f>IF(U4="", "", [1]MainOverview!P$10)</f>
        <v>Nm</v>
      </c>
      <c r="W4" t="str">
        <f>[1]MainOverview!S14 &amp; ""</f>
        <v>5</v>
      </c>
      <c r="X4" t="str">
        <f>[1]MainOverview!T14 &amp; ""</f>
        <v>5</v>
      </c>
      <c r="Y4" t="str">
        <f>[1]MainOverview!U14 &amp; ""</f>
        <v>5</v>
      </c>
      <c r="Z4" t="str">
        <f>IF(Y4="", "", [1]MainOverview!S$10)</f>
        <v>m3/min</v>
      </c>
    </row>
    <row r="5" spans="1:26" x14ac:dyDescent="0.45">
      <c r="A5" t="str">
        <f>[1]MainOverview!C15 &amp; ""</f>
        <v>5</v>
      </c>
      <c r="B5" t="str">
        <f>[1]MainOverview!D15 &amp; ""</f>
        <v>5</v>
      </c>
      <c r="C5" t="str">
        <f>IF(B5="", "", [1]MainOverview!C$10)</f>
        <v>meters</v>
      </c>
      <c r="D5" t="str">
        <f>[1]MainOverview!E15 &amp; ""</f>
        <v>5</v>
      </c>
      <c r="E5" t="str">
        <f>[1]MainOverview!F15 &amp; ""</f>
        <v>5</v>
      </c>
      <c r="F5" t="str">
        <f>IF(E5="", "", [1]MainOverview!E$10)</f>
        <v>feet</v>
      </c>
      <c r="G5" t="str">
        <f>[1]MainOverview!G15 &amp; ""</f>
        <v>5</v>
      </c>
      <c r="H5" t="str">
        <f>[1]MainOverview!H15 &amp; ""</f>
        <v>5</v>
      </c>
      <c r="I5" t="str">
        <f>[1]MainOverview!I15 &amp; ""</f>
        <v>5</v>
      </c>
      <c r="J5" t="str">
        <f>IF(I5="", "", [1]MainOverview!G$10)</f>
        <v>lbs</v>
      </c>
      <c r="K5" t="str">
        <f>[1]MainOverview!J15 &amp; ""</f>
        <v>5</v>
      </c>
      <c r="L5" t="str">
        <f>[1]MainOverview!K15 &amp; ""</f>
        <v>5</v>
      </c>
      <c r="M5" t="str">
        <f>[1]MainOverview!L15 &amp; ""</f>
        <v>5</v>
      </c>
      <c r="N5" t="str">
        <f>IF(M5="", "", [1]MainOverview!J$10)</f>
        <v>rpm</v>
      </c>
      <c r="O5" t="str">
        <f>[1]MainOverview!M15 &amp; ""</f>
        <v>5</v>
      </c>
      <c r="P5" t="str">
        <f>[1]MainOverview!N15 &amp; ""</f>
        <v>5</v>
      </c>
      <c r="Q5" t="str">
        <f>[1]MainOverview!O15 &amp; ""</f>
        <v>5</v>
      </c>
      <c r="R5" t="str">
        <f>[1]MainOverview!T15 &amp; ""</f>
        <v>5</v>
      </c>
      <c r="S5" t="str">
        <f>[1]MainOverview!O15 &amp; ""</f>
        <v>5</v>
      </c>
      <c r="T5" t="str">
        <f>[1]MainOverview!P15 &amp; ""</f>
        <v>5</v>
      </c>
      <c r="U5" t="str">
        <f>[1]MainOverview!Q15 &amp; ""</f>
        <v>5</v>
      </c>
      <c r="V5" t="str">
        <f>IF(U5="", "", [1]MainOverview!P$10)</f>
        <v>Nm</v>
      </c>
      <c r="W5" t="str">
        <f>[1]MainOverview!S15 &amp; ""</f>
        <v>5</v>
      </c>
      <c r="X5" t="str">
        <f>[1]MainOverview!T15 &amp; ""</f>
        <v>5</v>
      </c>
      <c r="Y5" t="str">
        <f>[1]MainOverview!U15 &amp; ""</f>
        <v>5</v>
      </c>
      <c r="Z5" t="str">
        <f>IF(Y5="", "", [1]MainOverview!S$10)</f>
        <v>m3/min</v>
      </c>
    </row>
    <row r="6" spans="1:26" x14ac:dyDescent="0.45">
      <c r="A6" t="str">
        <f>[1]MainOverview!C16 &amp; ""</f>
        <v>5</v>
      </c>
      <c r="B6" t="str">
        <f>[1]MainOverview!D16 &amp; ""</f>
        <v>6</v>
      </c>
      <c r="C6" t="str">
        <f>IF(B6="", "", [1]MainOverview!C$10)</f>
        <v>meters</v>
      </c>
      <c r="D6" t="str">
        <f>[1]MainOverview!E16 &amp; ""</f>
        <v>5</v>
      </c>
      <c r="E6" t="str">
        <f>[1]MainOverview!F16 &amp; ""</f>
        <v>5</v>
      </c>
      <c r="F6" t="str">
        <f>IF(E6="", "", [1]MainOverview!E$10)</f>
        <v>feet</v>
      </c>
      <c r="G6" t="str">
        <f>[1]MainOverview!G16 &amp; ""</f>
        <v>5</v>
      </c>
      <c r="H6" t="str">
        <f>[1]MainOverview!H16 &amp; ""</f>
        <v>5</v>
      </c>
      <c r="I6" t="str">
        <f>[1]MainOverview!I16 &amp; ""</f>
        <v>5</v>
      </c>
      <c r="J6" t="str">
        <f>IF(I6="", "", [1]MainOverview!G$10)</f>
        <v>lbs</v>
      </c>
      <c r="K6" t="str">
        <f>[1]MainOverview!J16 &amp; ""</f>
        <v>5</v>
      </c>
      <c r="L6" t="str">
        <f>[1]MainOverview!K16 &amp; ""</f>
        <v>5</v>
      </c>
      <c r="M6" t="str">
        <f>[1]MainOverview!L16 &amp; ""</f>
        <v>5</v>
      </c>
      <c r="N6" t="str">
        <f>IF(M6="", "", [1]MainOverview!J$10)</f>
        <v>rpm</v>
      </c>
      <c r="O6" t="str">
        <f>[1]MainOverview!M16 &amp; ""</f>
        <v>5</v>
      </c>
      <c r="P6" t="str">
        <f>[1]MainOverview!N16 &amp; ""</f>
        <v>5</v>
      </c>
      <c r="Q6" t="str">
        <f>[1]MainOverview!O16 &amp; ""</f>
        <v>5</v>
      </c>
      <c r="R6" t="str">
        <f>[1]MainOverview!T16 &amp; ""</f>
        <v>5</v>
      </c>
      <c r="S6" t="str">
        <f>[1]MainOverview!O16 &amp; ""</f>
        <v>5</v>
      </c>
      <c r="T6" t="str">
        <f>[1]MainOverview!P16 &amp; ""</f>
        <v>5</v>
      </c>
      <c r="U6" t="str">
        <f>[1]MainOverview!Q16 &amp; ""</f>
        <v>5</v>
      </c>
      <c r="V6" t="str">
        <f>IF(U6="", "", [1]MainOverview!P$10)</f>
        <v>Nm</v>
      </c>
      <c r="W6" t="str">
        <f>[1]MainOverview!S16 &amp; ""</f>
        <v>5</v>
      </c>
      <c r="X6" t="str">
        <f>[1]MainOverview!T16 &amp; ""</f>
        <v>5</v>
      </c>
      <c r="Y6" t="str">
        <f>[1]MainOverview!U16 &amp; ""</f>
        <v>5</v>
      </c>
      <c r="Z6" t="str">
        <f>IF(Y6="", "", [1]MainOverview!S$10)</f>
        <v>m3/min</v>
      </c>
    </row>
    <row r="7" spans="1:26" x14ac:dyDescent="0.45">
      <c r="A7" t="str">
        <f>[1]MainOverview!C17 &amp; ""</f>
        <v>6</v>
      </c>
      <c r="B7" t="str">
        <f>[1]MainOverview!D17 &amp; ""</f>
        <v>5</v>
      </c>
      <c r="C7" t="str">
        <f>IF(B7="", "", [1]MainOverview!C$10)</f>
        <v>meters</v>
      </c>
      <c r="D7" t="str">
        <f>[1]MainOverview!E17 &amp; ""</f>
        <v>5</v>
      </c>
      <c r="E7" t="str">
        <f>[1]MainOverview!F17 &amp; ""</f>
        <v>5</v>
      </c>
      <c r="F7" t="str">
        <f>IF(E7="", "", [1]MainOverview!E$10)</f>
        <v>feet</v>
      </c>
      <c r="G7" t="str">
        <f>[1]MainOverview!G17 &amp; ""</f>
        <v>5</v>
      </c>
      <c r="H7" t="str">
        <f>[1]MainOverview!H17 &amp; ""</f>
        <v>5</v>
      </c>
      <c r="I7" t="str">
        <f>[1]MainOverview!I17 &amp; ""</f>
        <v>5</v>
      </c>
      <c r="J7" t="str">
        <f>IF(I7="", "", [1]MainOverview!G$10)</f>
        <v>lbs</v>
      </c>
      <c r="K7" t="str">
        <f>[1]MainOverview!J17 &amp; ""</f>
        <v>5</v>
      </c>
      <c r="L7" t="str">
        <f>[1]MainOverview!K17 &amp; ""</f>
        <v>5</v>
      </c>
      <c r="M7" t="str">
        <f>[1]MainOverview!L17 &amp; ""</f>
        <v>5</v>
      </c>
      <c r="N7" t="str">
        <f>IF(M7="", "", [1]MainOverview!J$10)</f>
        <v>rpm</v>
      </c>
      <c r="O7" t="str">
        <f>[1]MainOverview!M17 &amp; ""</f>
        <v>5</v>
      </c>
      <c r="P7" t="str">
        <f>[1]MainOverview!N17 &amp; ""</f>
        <v>5</v>
      </c>
      <c r="Q7" t="str">
        <f>[1]MainOverview!O17 &amp; ""</f>
        <v>5</v>
      </c>
      <c r="R7" t="str">
        <f>[1]MainOverview!T17 &amp; ""</f>
        <v>5</v>
      </c>
      <c r="S7" t="str">
        <f>[1]MainOverview!O17 &amp; ""</f>
        <v>5</v>
      </c>
      <c r="T7" t="str">
        <f>[1]MainOverview!P17 &amp; ""</f>
        <v>5</v>
      </c>
      <c r="U7" t="str">
        <f>[1]MainOverview!Q17 &amp; ""</f>
        <v>5</v>
      </c>
      <c r="V7" t="str">
        <f>IF(U7="", "", [1]MainOverview!P$10)</f>
        <v>Nm</v>
      </c>
      <c r="W7" t="str">
        <f>[1]MainOverview!S17 &amp; ""</f>
        <v>5</v>
      </c>
      <c r="X7" t="str">
        <f>[1]MainOverview!T17 &amp; ""</f>
        <v>5</v>
      </c>
      <c r="Y7" t="str">
        <f>[1]MainOverview!U17 &amp; ""</f>
        <v>5</v>
      </c>
      <c r="Z7" t="str">
        <f>IF(Y7="", "", [1]MainOverview!S$10)</f>
        <v>m3/min</v>
      </c>
    </row>
    <row r="8" spans="1:26" x14ac:dyDescent="0.45">
      <c r="A8" t="str">
        <f>[1]MainOverview!C18 &amp; ""</f>
        <v>5</v>
      </c>
      <c r="B8" t="str">
        <f>[1]MainOverview!D18 &amp; ""</f>
        <v>5</v>
      </c>
      <c r="C8" t="str">
        <f>IF(B8="", "", [1]MainOverview!C$10)</f>
        <v>meters</v>
      </c>
      <c r="D8" t="str">
        <f>[1]MainOverview!E18 &amp; ""</f>
        <v>5</v>
      </c>
      <c r="E8" t="str">
        <f>[1]MainOverview!F18 &amp; ""</f>
        <v>5</v>
      </c>
      <c r="F8" t="str">
        <f>IF(E8="", "", [1]MainOverview!E$10)</f>
        <v>feet</v>
      </c>
      <c r="G8" t="str">
        <f>[1]MainOverview!G18 &amp; ""</f>
        <v>5</v>
      </c>
      <c r="H8" t="str">
        <f>[1]MainOverview!H18 &amp; ""</f>
        <v>5</v>
      </c>
      <c r="I8" t="str">
        <f>[1]MainOverview!I18 &amp; ""</f>
        <v>5</v>
      </c>
      <c r="J8" t="str">
        <f>IF(I8="", "", [1]MainOverview!G$10)</f>
        <v>lbs</v>
      </c>
      <c r="K8" t="str">
        <f>[1]MainOverview!J18 &amp; ""</f>
        <v>5</v>
      </c>
      <c r="L8" t="str">
        <f>[1]MainOverview!K18 &amp; ""</f>
        <v>5</v>
      </c>
      <c r="M8" t="str">
        <f>[1]MainOverview!L18 &amp; ""</f>
        <v>5</v>
      </c>
      <c r="N8" t="str">
        <f>IF(M8="", "", [1]MainOverview!J$10)</f>
        <v>rpm</v>
      </c>
      <c r="O8" t="str">
        <f>[1]MainOverview!M18 &amp; ""</f>
        <v>5</v>
      </c>
      <c r="P8" t="str">
        <f>[1]MainOverview!N18 &amp; ""</f>
        <v>5</v>
      </c>
      <c r="Q8" t="str">
        <f>[1]MainOverview!O18 &amp; ""</f>
        <v>5</v>
      </c>
      <c r="R8" t="str">
        <f>[1]MainOverview!T18 &amp; ""</f>
        <v>5</v>
      </c>
      <c r="S8" t="str">
        <f>[1]MainOverview!O18 &amp; ""</f>
        <v>5</v>
      </c>
      <c r="T8" t="str">
        <f>[1]MainOverview!P18 &amp; ""</f>
        <v>5</v>
      </c>
      <c r="U8" t="str">
        <f>[1]MainOverview!Q18 &amp; ""</f>
        <v>5</v>
      </c>
      <c r="V8" t="str">
        <f>IF(U8="", "", [1]MainOverview!P$10)</f>
        <v>Nm</v>
      </c>
      <c r="W8" t="str">
        <f>[1]MainOverview!S18 &amp; ""</f>
        <v>5</v>
      </c>
      <c r="X8" t="str">
        <f>[1]MainOverview!T18 &amp; ""</f>
        <v>5</v>
      </c>
      <c r="Y8" t="str">
        <f>[1]MainOverview!U18 &amp; ""</f>
        <v>5</v>
      </c>
      <c r="Z8" t="str">
        <f>IF(Y8="", "", [1]MainOverview!S$10)</f>
        <v>m3/min</v>
      </c>
    </row>
    <row r="9" spans="1:26" x14ac:dyDescent="0.45">
      <c r="A9" t="str">
        <f>[1]MainOverview!C19 &amp; ""</f>
        <v>5</v>
      </c>
      <c r="B9" t="str">
        <f>[1]MainOverview!D19 &amp; ""</f>
        <v>5</v>
      </c>
      <c r="C9" t="str">
        <f>IF(B9="", "", [1]MainOverview!C$10)</f>
        <v>meters</v>
      </c>
      <c r="D9" t="str">
        <f>[1]MainOverview!E19 &amp; ""</f>
        <v>5</v>
      </c>
      <c r="E9" t="str">
        <f>[1]MainOverview!F19 &amp; ""</f>
        <v>5</v>
      </c>
      <c r="F9" t="str">
        <f>IF(E9="", "", [1]MainOverview!E$10)</f>
        <v>feet</v>
      </c>
      <c r="G9" t="str">
        <f>[1]MainOverview!G19 &amp; ""</f>
        <v>5</v>
      </c>
      <c r="H9" t="str">
        <f>[1]MainOverview!H19 &amp; ""</f>
        <v>5</v>
      </c>
      <c r="I9" t="str">
        <f>[1]MainOverview!I19 &amp; ""</f>
        <v>5</v>
      </c>
      <c r="J9" t="str">
        <f>IF(I9="", "", [1]MainOverview!G$10)</f>
        <v>lbs</v>
      </c>
      <c r="K9" t="str">
        <f>[1]MainOverview!J19 &amp; ""</f>
        <v>5</v>
      </c>
      <c r="L9" t="str">
        <f>[1]MainOverview!K19 &amp; ""</f>
        <v>5</v>
      </c>
      <c r="M9" t="str">
        <f>[1]MainOverview!L19 &amp; ""</f>
        <v>5</v>
      </c>
      <c r="N9" t="str">
        <f>IF(M9="", "", [1]MainOverview!J$10)</f>
        <v>rpm</v>
      </c>
      <c r="O9" t="str">
        <f>[1]MainOverview!M19 &amp; ""</f>
        <v>5</v>
      </c>
      <c r="P9" t="str">
        <f>[1]MainOverview!N19 &amp; ""</f>
        <v>5</v>
      </c>
      <c r="Q9" t="str">
        <f>[1]MainOverview!O19 &amp; ""</f>
        <v>5</v>
      </c>
      <c r="R9" t="str">
        <f>[1]MainOverview!T19 &amp; ""</f>
        <v>5</v>
      </c>
      <c r="S9" t="str">
        <f>[1]MainOverview!O19 &amp; ""</f>
        <v>5</v>
      </c>
      <c r="T9" t="str">
        <f>[1]MainOverview!P19 &amp; ""</f>
        <v>5</v>
      </c>
      <c r="U9" t="str">
        <f>[1]MainOverview!Q19 &amp; ""</f>
        <v>5</v>
      </c>
      <c r="V9" t="str">
        <f>IF(U9="", "", [1]MainOverview!P$10)</f>
        <v>Nm</v>
      </c>
      <c r="W9" t="str">
        <f>[1]MainOverview!S19 &amp; ""</f>
        <v>5</v>
      </c>
      <c r="X9" t="str">
        <f>[1]MainOverview!T19 &amp; ""</f>
        <v>5</v>
      </c>
      <c r="Y9" t="str">
        <f>[1]MainOverview!U19 &amp; ""</f>
        <v>5</v>
      </c>
      <c r="Z9" t="str">
        <f>IF(Y9="", "", [1]MainOverview!S$10)</f>
        <v>m3/min</v>
      </c>
    </row>
    <row r="10" spans="1:26" x14ac:dyDescent="0.45">
      <c r="A10" t="str">
        <f>[1]MainOverview!C20 &amp; ""</f>
        <v>5</v>
      </c>
      <c r="B10" t="str">
        <f>[1]MainOverview!D20 &amp; ""</f>
        <v>5</v>
      </c>
      <c r="C10" t="str">
        <f>IF(B10="", "", [1]MainOverview!C$10)</f>
        <v>meters</v>
      </c>
      <c r="D10" t="str">
        <f>[1]MainOverview!E20 &amp; ""</f>
        <v>5</v>
      </c>
      <c r="E10" t="str">
        <f>[1]MainOverview!F20 &amp; ""</f>
        <v>5</v>
      </c>
      <c r="F10" t="str">
        <f>IF(E10="", "", [1]MainOverview!E$10)</f>
        <v>feet</v>
      </c>
      <c r="G10" t="str">
        <f>[1]MainOverview!G20 &amp; ""</f>
        <v>5</v>
      </c>
      <c r="H10" t="str">
        <f>[1]MainOverview!H20 &amp; ""</f>
        <v>5</v>
      </c>
      <c r="I10" t="str">
        <f>[1]MainOverview!I20 &amp; ""</f>
        <v>5</v>
      </c>
      <c r="J10" t="str">
        <f>IF(I10="", "", [1]MainOverview!G$10)</f>
        <v>lbs</v>
      </c>
      <c r="K10" t="str">
        <f>[1]MainOverview!J20 &amp; ""</f>
        <v>5</v>
      </c>
      <c r="L10" t="str">
        <f>[1]MainOverview!K20 &amp; ""</f>
        <v>5</v>
      </c>
      <c r="M10" t="str">
        <f>[1]MainOverview!L20 &amp; ""</f>
        <v>5</v>
      </c>
      <c r="N10" t="str">
        <f>IF(M10="", "", [1]MainOverview!J$10)</f>
        <v>rpm</v>
      </c>
      <c r="O10" t="str">
        <f>[1]MainOverview!M20 &amp; ""</f>
        <v>5</v>
      </c>
      <c r="P10" t="str">
        <f>[1]MainOverview!N20 &amp; ""</f>
        <v>5</v>
      </c>
      <c r="Q10" t="str">
        <f>[1]MainOverview!O20 &amp; ""</f>
        <v>5</v>
      </c>
      <c r="R10" t="str">
        <f>[1]MainOverview!T20 &amp; ""</f>
        <v>5</v>
      </c>
      <c r="S10" t="str">
        <f>[1]MainOverview!O20 &amp; ""</f>
        <v>5</v>
      </c>
      <c r="T10" t="str">
        <f>[1]MainOverview!P20 &amp; ""</f>
        <v>5</v>
      </c>
      <c r="U10" t="str">
        <f>[1]MainOverview!Q20 &amp; ""</f>
        <v>5</v>
      </c>
      <c r="V10" t="str">
        <f>IF(U10="", "", [1]MainOverview!P$10)</f>
        <v>Nm</v>
      </c>
      <c r="W10" t="str">
        <f>[1]MainOverview!S20 &amp; ""</f>
        <v>5</v>
      </c>
      <c r="X10" t="str">
        <f>[1]MainOverview!T20 &amp; ""</f>
        <v>5</v>
      </c>
      <c r="Y10" t="str">
        <f>[1]MainOverview!U20 &amp; ""</f>
        <v>5</v>
      </c>
      <c r="Z10" t="str">
        <f>IF(Y10="", "", [1]MainOverview!S$10)</f>
        <v>m3/min</v>
      </c>
    </row>
    <row r="11" spans="1:26" x14ac:dyDescent="0.45">
      <c r="A11" t="str">
        <f>[1]MainOverview!C21 &amp; ""</f>
        <v>5</v>
      </c>
      <c r="B11" t="str">
        <f>[1]MainOverview!D21 &amp; ""</f>
        <v>5</v>
      </c>
      <c r="C11" t="str">
        <f>IF(B11="", "", [1]MainOverview!C$10)</f>
        <v>meters</v>
      </c>
      <c r="D11" t="str">
        <f>[1]MainOverview!E21 &amp; ""</f>
        <v>5</v>
      </c>
      <c r="E11" t="str">
        <f>[1]MainOverview!F21 &amp; ""</f>
        <v>5</v>
      </c>
      <c r="F11" t="str">
        <f>IF(E11="", "", [1]MainOverview!E$10)</f>
        <v>feet</v>
      </c>
      <c r="G11" t="str">
        <f>[1]MainOverview!G21 &amp; ""</f>
        <v>5</v>
      </c>
      <c r="H11" t="str">
        <f>[1]MainOverview!H21 &amp; ""</f>
        <v>5</v>
      </c>
      <c r="I11" t="str">
        <f>[1]MainOverview!I21 &amp; ""</f>
        <v>5</v>
      </c>
      <c r="J11" t="str">
        <f>IF(I11="", "", [1]MainOverview!G$10)</f>
        <v>lbs</v>
      </c>
      <c r="K11" t="str">
        <f>[1]MainOverview!J21 &amp; ""</f>
        <v>5</v>
      </c>
      <c r="L11" t="str">
        <f>[1]MainOverview!K21 &amp; ""</f>
        <v>5</v>
      </c>
      <c r="M11" t="str">
        <f>[1]MainOverview!L21 &amp; ""</f>
        <v>5</v>
      </c>
      <c r="N11" t="str">
        <f>IF(M11="", "", [1]MainOverview!J$10)</f>
        <v>rpm</v>
      </c>
      <c r="O11" t="str">
        <f>[1]MainOverview!M21 &amp; ""</f>
        <v>5</v>
      </c>
      <c r="P11" t="str">
        <f>[1]MainOverview!N21 &amp; ""</f>
        <v>5</v>
      </c>
      <c r="Q11" t="str">
        <f>[1]MainOverview!O21 &amp; ""</f>
        <v>5</v>
      </c>
      <c r="R11" t="str">
        <f>[1]MainOverview!T21 &amp; ""</f>
        <v>5</v>
      </c>
      <c r="S11" t="str">
        <f>[1]MainOverview!O21 &amp; ""</f>
        <v>5</v>
      </c>
      <c r="T11" t="str">
        <f>[1]MainOverview!P21 &amp; ""</f>
        <v>5</v>
      </c>
      <c r="U11" t="str">
        <f>[1]MainOverview!Q21 &amp; ""</f>
        <v>5</v>
      </c>
      <c r="V11" t="str">
        <f>IF(U11="", "", [1]MainOverview!P$10)</f>
        <v>Nm</v>
      </c>
      <c r="W11" t="str">
        <f>[1]MainOverview!S21 &amp; ""</f>
        <v>5</v>
      </c>
      <c r="X11" t="str">
        <f>[1]MainOverview!T21 &amp; ""</f>
        <v>5</v>
      </c>
      <c r="Y11" t="str">
        <f>[1]MainOverview!U21 &amp; ""</f>
        <v>5</v>
      </c>
      <c r="Z11" t="str">
        <f>IF(Y11="", "", [1]MainOverview!S$10)</f>
        <v>m3/min</v>
      </c>
    </row>
    <row r="12" spans="1:26" x14ac:dyDescent="0.45">
      <c r="A12" t="str">
        <f>[1]MainOverview!C22 &amp; ""</f>
        <v>5</v>
      </c>
      <c r="B12" t="str">
        <f>[1]MainOverview!D22 &amp; ""</f>
        <v>5</v>
      </c>
      <c r="C12" t="str">
        <f>IF(B12="", "", [1]MainOverview!C$10)</f>
        <v>meters</v>
      </c>
      <c r="D12" t="str">
        <f>[1]MainOverview!E22 &amp; ""</f>
        <v>5</v>
      </c>
      <c r="E12" t="str">
        <f>[1]MainOverview!F22 &amp; ""</f>
        <v>5</v>
      </c>
      <c r="F12" t="str">
        <f>IF(E12="", "", [1]MainOverview!E$10)</f>
        <v>feet</v>
      </c>
      <c r="G12" t="str">
        <f>[1]MainOverview!G22 &amp; ""</f>
        <v>5</v>
      </c>
      <c r="H12" t="str">
        <f>[1]MainOverview!H22 &amp; ""</f>
        <v>5</v>
      </c>
      <c r="I12" t="str">
        <f>[1]MainOverview!I22 &amp; ""</f>
        <v>5</v>
      </c>
      <c r="J12" t="str">
        <f>IF(I12="", "", [1]MainOverview!G$10)</f>
        <v>lbs</v>
      </c>
      <c r="K12" t="str">
        <f>[1]MainOverview!J22 &amp; ""</f>
        <v>5</v>
      </c>
      <c r="L12" t="str">
        <f>[1]MainOverview!K22 &amp; ""</f>
        <v>5</v>
      </c>
      <c r="M12" t="str">
        <f>[1]MainOverview!L22 &amp; ""</f>
        <v>5</v>
      </c>
      <c r="N12" t="str">
        <f>IF(M12="", "", [1]MainOverview!J$10)</f>
        <v>rpm</v>
      </c>
      <c r="O12" t="str">
        <f>[1]MainOverview!M22 &amp; ""</f>
        <v>5</v>
      </c>
      <c r="P12" t="str">
        <f>[1]MainOverview!N22 &amp; ""</f>
        <v>5</v>
      </c>
      <c r="Q12" t="str">
        <f>[1]MainOverview!O22 &amp; ""</f>
        <v>5</v>
      </c>
      <c r="R12" t="str">
        <f>[1]MainOverview!T22 &amp; ""</f>
        <v>5</v>
      </c>
      <c r="S12" t="str">
        <f>[1]MainOverview!O22 &amp; ""</f>
        <v>5</v>
      </c>
      <c r="T12" t="str">
        <f>[1]MainOverview!P22 &amp; ""</f>
        <v>5</v>
      </c>
      <c r="U12" t="str">
        <f>[1]MainOverview!Q22 &amp; ""</f>
        <v>5</v>
      </c>
      <c r="V12" t="str">
        <f>IF(U12="", "", [1]MainOverview!P$10)</f>
        <v>Nm</v>
      </c>
      <c r="W12" t="str">
        <f>[1]MainOverview!S22 &amp; ""</f>
        <v>5</v>
      </c>
      <c r="X12" t="str">
        <f>[1]MainOverview!T22 &amp; ""</f>
        <v>5</v>
      </c>
      <c r="Y12" t="str">
        <f>[1]MainOverview!U22 &amp; ""</f>
        <v>5</v>
      </c>
      <c r="Z12" t="str">
        <f>IF(Y12="", "", [1]MainOverview!S$10)</f>
        <v>m3/min</v>
      </c>
    </row>
    <row r="13" spans="1:26" x14ac:dyDescent="0.45">
      <c r="A13" t="str">
        <f>[1]MainOverview!C23 &amp; ""</f>
        <v>5</v>
      </c>
      <c r="B13" t="str">
        <f>[1]MainOverview!D23 &amp; ""</f>
        <v>5</v>
      </c>
      <c r="C13" t="str">
        <f>IF(B13="", "", [1]MainOverview!C$10)</f>
        <v>meters</v>
      </c>
      <c r="D13" t="str">
        <f>[1]MainOverview!E23 &amp; ""</f>
        <v>5</v>
      </c>
      <c r="E13" t="str">
        <f>[1]MainOverview!F23 &amp; ""</f>
        <v>5</v>
      </c>
      <c r="F13" t="str">
        <f>IF(E13="", "", [1]MainOverview!E$10)</f>
        <v>feet</v>
      </c>
      <c r="G13" t="str">
        <f>[1]MainOverview!G23 &amp; ""</f>
        <v>5</v>
      </c>
      <c r="H13" t="str">
        <f>[1]MainOverview!H23 &amp; ""</f>
        <v>5</v>
      </c>
      <c r="I13" t="str">
        <f>[1]MainOverview!I23 &amp; ""</f>
        <v>5</v>
      </c>
      <c r="J13" t="str">
        <f>IF(I13="", "", [1]MainOverview!G$10)</f>
        <v>lbs</v>
      </c>
      <c r="K13" t="str">
        <f>[1]MainOverview!J23 &amp; ""</f>
        <v>5</v>
      </c>
      <c r="L13" t="str">
        <f>[1]MainOverview!K23 &amp; ""</f>
        <v>5</v>
      </c>
      <c r="M13" t="str">
        <f>[1]MainOverview!L23 &amp; ""</f>
        <v>5</v>
      </c>
      <c r="N13" t="str">
        <f>IF(M13="", "", [1]MainOverview!J$10)</f>
        <v>rpm</v>
      </c>
      <c r="O13" t="str">
        <f>[1]MainOverview!M23 &amp; ""</f>
        <v>5</v>
      </c>
      <c r="P13" t="str">
        <f>[1]MainOverview!N23 &amp; ""</f>
        <v>5</v>
      </c>
      <c r="Q13" t="str">
        <f>[1]MainOverview!O23 &amp; ""</f>
        <v>5</v>
      </c>
      <c r="R13" t="str">
        <f>[1]MainOverview!T23 &amp; ""</f>
        <v>5</v>
      </c>
      <c r="S13" t="str">
        <f>[1]MainOverview!O23 &amp; ""</f>
        <v>5</v>
      </c>
      <c r="T13" t="str">
        <f>[1]MainOverview!P23 &amp; ""</f>
        <v>5</v>
      </c>
      <c r="U13" t="str">
        <f>[1]MainOverview!Q23 &amp; ""</f>
        <v>5</v>
      </c>
      <c r="V13" t="str">
        <f>IF(U13="", "", [1]MainOverview!P$10)</f>
        <v>Nm</v>
      </c>
      <c r="W13" t="str">
        <f>[1]MainOverview!S23 &amp; ""</f>
        <v>5</v>
      </c>
      <c r="X13" t="str">
        <f>[1]MainOverview!T23 &amp; ""</f>
        <v>5</v>
      </c>
      <c r="Y13" t="str">
        <f>[1]MainOverview!U23 &amp; ""</f>
        <v>5</v>
      </c>
      <c r="Z13" t="str">
        <f>IF(Y13="", "", [1]MainOverview!S$10)</f>
        <v>m3/min</v>
      </c>
    </row>
    <row r="14" spans="1:26" x14ac:dyDescent="0.45">
      <c r="A14" t="str">
        <f>[1]MainOverview!C24 &amp; ""</f>
        <v>5</v>
      </c>
      <c r="B14" t="str">
        <f>[1]MainOverview!D24 &amp; ""</f>
        <v>5</v>
      </c>
      <c r="C14" t="str">
        <f>IF(B14="", "", [1]MainOverview!C$10)</f>
        <v>meters</v>
      </c>
      <c r="D14" t="str">
        <f>[1]MainOverview!E24 &amp; ""</f>
        <v>5</v>
      </c>
      <c r="E14" t="str">
        <f>[1]MainOverview!F24 &amp; ""</f>
        <v>5</v>
      </c>
      <c r="F14" t="str">
        <f>IF(E14="", "", [1]MainOverview!E$10)</f>
        <v>feet</v>
      </c>
      <c r="G14" t="str">
        <f>[1]MainOverview!G24 &amp; ""</f>
        <v>5</v>
      </c>
      <c r="H14" t="str">
        <f>[1]MainOverview!H24 &amp; ""</f>
        <v>5</v>
      </c>
      <c r="I14" t="str">
        <f>[1]MainOverview!I24 &amp; ""</f>
        <v>5</v>
      </c>
      <c r="J14" t="str">
        <f>IF(I14="", "", [1]MainOverview!G$10)</f>
        <v>lbs</v>
      </c>
      <c r="K14" t="str">
        <f>[1]MainOverview!J24 &amp; ""</f>
        <v>5</v>
      </c>
      <c r="L14" t="str">
        <f>[1]MainOverview!K24 &amp; ""</f>
        <v>5</v>
      </c>
      <c r="M14" t="str">
        <f>[1]MainOverview!L24 &amp; ""</f>
        <v>5</v>
      </c>
      <c r="N14" t="str">
        <f>IF(M14="", "", [1]MainOverview!J$10)</f>
        <v>rpm</v>
      </c>
      <c r="O14" t="str">
        <f>[1]MainOverview!M24 &amp; ""</f>
        <v>5</v>
      </c>
      <c r="P14" t="str">
        <f>[1]MainOverview!N24 &amp; ""</f>
        <v>5</v>
      </c>
      <c r="Q14" t="str">
        <f>[1]MainOverview!O24 &amp; ""</f>
        <v>5</v>
      </c>
      <c r="R14" t="str">
        <f>[1]MainOverview!T24 &amp; ""</f>
        <v>5</v>
      </c>
      <c r="S14" t="str">
        <f>[1]MainOverview!O24 &amp; ""</f>
        <v>5</v>
      </c>
      <c r="T14" t="str">
        <f>[1]MainOverview!P24 &amp; ""</f>
        <v>5</v>
      </c>
      <c r="U14" t="str">
        <f>[1]MainOverview!Q24 &amp; ""</f>
        <v>5</v>
      </c>
      <c r="V14" t="str">
        <f>IF(U14="", "", [1]MainOverview!P$10)</f>
        <v>Nm</v>
      </c>
      <c r="W14" t="str">
        <f>[1]MainOverview!S24 &amp; ""</f>
        <v>5</v>
      </c>
      <c r="X14" t="str">
        <f>[1]MainOverview!T24 &amp; ""</f>
        <v>5</v>
      </c>
      <c r="Y14" t="str">
        <f>[1]MainOverview!U24 &amp; ""</f>
        <v>5</v>
      </c>
      <c r="Z14" t="str">
        <f>IF(Y14="", "", [1]MainOverview!S$10)</f>
        <v>m3/min</v>
      </c>
    </row>
    <row r="15" spans="1:26" x14ac:dyDescent="0.45">
      <c r="A15" t="str">
        <f>[1]MainOverview!C25 &amp; ""</f>
        <v>5</v>
      </c>
      <c r="B15" t="str">
        <f>[1]MainOverview!D25 &amp; ""</f>
        <v>5</v>
      </c>
      <c r="C15" t="str">
        <f>IF(B15="", "", [1]MainOverview!C$10)</f>
        <v>meters</v>
      </c>
      <c r="D15" t="str">
        <f>[1]MainOverview!E25 &amp; ""</f>
        <v>5</v>
      </c>
      <c r="E15" t="str">
        <f>[1]MainOverview!F25 &amp; ""</f>
        <v>5</v>
      </c>
      <c r="F15" t="str">
        <f>IF(E15="", "", [1]MainOverview!E$10)</f>
        <v>feet</v>
      </c>
      <c r="G15" t="str">
        <f>[1]MainOverview!G25 &amp; ""</f>
        <v>5</v>
      </c>
      <c r="H15" t="str">
        <f>[1]MainOverview!H25 &amp; ""</f>
        <v>5</v>
      </c>
      <c r="I15" t="str">
        <f>[1]MainOverview!I25 &amp; ""</f>
        <v>5</v>
      </c>
      <c r="J15" t="str">
        <f>IF(I15="", "", [1]MainOverview!G$10)</f>
        <v>lbs</v>
      </c>
      <c r="K15" t="str">
        <f>[1]MainOverview!J25 &amp; ""</f>
        <v>5</v>
      </c>
      <c r="L15" t="str">
        <f>[1]MainOverview!K25 &amp; ""</f>
        <v>5</v>
      </c>
      <c r="M15" t="str">
        <f>[1]MainOverview!L25 &amp; ""</f>
        <v>5</v>
      </c>
      <c r="N15" t="str">
        <f>IF(M15="", "", [1]MainOverview!J$10)</f>
        <v>rpm</v>
      </c>
      <c r="O15" t="str">
        <f>[1]MainOverview!M25 &amp; ""</f>
        <v>5</v>
      </c>
      <c r="P15" t="str">
        <f>[1]MainOverview!N25 &amp; ""</f>
        <v>5</v>
      </c>
      <c r="Q15" t="str">
        <f>[1]MainOverview!O25 &amp; ""</f>
        <v>5</v>
      </c>
      <c r="R15" t="str">
        <f>[1]MainOverview!T25 &amp; ""</f>
        <v>5</v>
      </c>
      <c r="S15" t="str">
        <f>[1]MainOverview!O25 &amp; ""</f>
        <v>5</v>
      </c>
      <c r="T15" t="str">
        <f>[1]MainOverview!P25 &amp; ""</f>
        <v>5</v>
      </c>
      <c r="U15" t="str">
        <f>[1]MainOverview!Q25 &amp; ""</f>
        <v>5</v>
      </c>
      <c r="V15" t="str">
        <f>IF(U15="", "", [1]MainOverview!P$10)</f>
        <v>Nm</v>
      </c>
      <c r="W15" t="str">
        <f>[1]MainOverview!S25 &amp; ""</f>
        <v>5</v>
      </c>
      <c r="X15" t="str">
        <f>[1]MainOverview!T25 &amp; ""</f>
        <v>5</v>
      </c>
      <c r="Y15" t="str">
        <f>[1]MainOverview!U25 &amp; ""</f>
        <v>5</v>
      </c>
      <c r="Z15" t="str">
        <f>IF(Y15="", "", [1]MainOverview!S$10)</f>
        <v>m3/min</v>
      </c>
    </row>
    <row r="16" spans="1:26" x14ac:dyDescent="0.45">
      <c r="A16" t="str">
        <f>[1]MainOverview!C26 &amp; ""</f>
        <v>5</v>
      </c>
      <c r="B16" t="str">
        <f>[1]MainOverview!D26 &amp; ""</f>
        <v>55</v>
      </c>
      <c r="C16" t="str">
        <f>IF(B16="", "", [1]MainOverview!C$10)</f>
        <v>meters</v>
      </c>
      <c r="D16" t="str">
        <f>[1]MainOverview!E26 &amp; ""</f>
        <v>5</v>
      </c>
      <c r="E16" t="str">
        <f>[1]MainOverview!F26 &amp; ""</f>
        <v>5</v>
      </c>
      <c r="F16" t="str">
        <f>IF(E16="", "", [1]MainOverview!E$10)</f>
        <v>feet</v>
      </c>
      <c r="G16" t="str">
        <f>[1]MainOverview!G26 &amp; ""</f>
        <v>5</v>
      </c>
      <c r="H16" t="str">
        <f>[1]MainOverview!H26 &amp; ""</f>
        <v>5</v>
      </c>
      <c r="I16" t="str">
        <f>[1]MainOverview!I26 &amp; ""</f>
        <v>5</v>
      </c>
      <c r="J16" t="str">
        <f>IF(I16="", "", [1]MainOverview!G$10)</f>
        <v>lbs</v>
      </c>
      <c r="K16" t="str">
        <f>[1]MainOverview!J26 &amp; ""</f>
        <v>5</v>
      </c>
      <c r="L16" t="str">
        <f>[1]MainOverview!K26 &amp; ""</f>
        <v>5</v>
      </c>
      <c r="M16" t="str">
        <f>[1]MainOverview!L26 &amp; ""</f>
        <v>5</v>
      </c>
      <c r="N16" t="str">
        <f>IF(M16="", "", [1]MainOverview!J$10)</f>
        <v>rpm</v>
      </c>
      <c r="O16" t="str">
        <f>[1]MainOverview!M26 &amp; ""</f>
        <v>5</v>
      </c>
      <c r="P16" t="str">
        <f>[1]MainOverview!N26 &amp; ""</f>
        <v>5</v>
      </c>
      <c r="Q16" t="str">
        <f>[1]MainOverview!O26 &amp; ""</f>
        <v>5</v>
      </c>
      <c r="R16" t="str">
        <f>[1]MainOverview!T26 &amp; ""</f>
        <v>5</v>
      </c>
      <c r="S16" t="str">
        <f>[1]MainOverview!O26 &amp; ""</f>
        <v>5</v>
      </c>
      <c r="T16" t="str">
        <f>[1]MainOverview!P26 &amp; ""</f>
        <v>5</v>
      </c>
      <c r="U16" t="str">
        <f>[1]MainOverview!Q26 &amp; ""</f>
        <v>5</v>
      </c>
      <c r="V16" t="str">
        <f>IF(U16="", "", [1]MainOverview!P$10)</f>
        <v>Nm</v>
      </c>
      <c r="W16" t="str">
        <f>[1]MainOverview!S26 &amp; ""</f>
        <v>5</v>
      </c>
      <c r="X16" t="str">
        <f>[1]MainOverview!T26 &amp; ""</f>
        <v>5</v>
      </c>
      <c r="Y16" t="str">
        <f>[1]MainOverview!U26 &amp; ""</f>
        <v>5</v>
      </c>
      <c r="Z16" t="str">
        <f>IF(Y16="", "", [1]MainOverview!S$10)</f>
        <v>m3/min</v>
      </c>
    </row>
    <row r="17" spans="1:26" x14ac:dyDescent="0.45">
      <c r="A17" t="str">
        <f>[1]MainOverview!C27 &amp; ""</f>
        <v>55</v>
      </c>
      <c r="B17" t="str">
        <f>[1]MainOverview!D27 &amp; ""</f>
        <v>5</v>
      </c>
      <c r="C17" t="str">
        <f>IF(B17="", "", [1]MainOverview!C$10)</f>
        <v>meters</v>
      </c>
      <c r="D17" t="str">
        <f>[1]MainOverview!E27 &amp; ""</f>
        <v>5</v>
      </c>
      <c r="E17" t="str">
        <f>[1]MainOverview!F27 &amp; ""</f>
        <v>5</v>
      </c>
      <c r="F17" t="str">
        <f>IF(E17="", "", [1]MainOverview!E$10)</f>
        <v>feet</v>
      </c>
      <c r="G17" t="str">
        <f>[1]MainOverview!G27 &amp; ""</f>
        <v>5</v>
      </c>
      <c r="H17" t="str">
        <f>[1]MainOverview!H27 &amp; ""</f>
        <v>5</v>
      </c>
      <c r="I17" t="str">
        <f>[1]MainOverview!I27 &amp; ""</f>
        <v>5</v>
      </c>
      <c r="J17" t="str">
        <f>IF(I17="", "", [1]MainOverview!G$10)</f>
        <v>lbs</v>
      </c>
      <c r="K17" t="str">
        <f>[1]MainOverview!J27 &amp; ""</f>
        <v>5</v>
      </c>
      <c r="L17" t="str">
        <f>[1]MainOverview!K27 &amp; ""</f>
        <v>5</v>
      </c>
      <c r="M17" t="str">
        <f>[1]MainOverview!L27 &amp; ""</f>
        <v>5</v>
      </c>
      <c r="N17" t="str">
        <f>IF(M17="", "", [1]MainOverview!J$10)</f>
        <v>rpm</v>
      </c>
      <c r="O17" t="str">
        <f>[1]MainOverview!M27 &amp; ""</f>
        <v>5</v>
      </c>
      <c r="P17" t="str">
        <f>[1]MainOverview!N27 &amp; ""</f>
        <v>5</v>
      </c>
      <c r="Q17" t="str">
        <f>[1]MainOverview!O27 &amp; ""</f>
        <v>5</v>
      </c>
      <c r="R17" t="str">
        <f>[1]MainOverview!T27 &amp; ""</f>
        <v>5</v>
      </c>
      <c r="S17" t="str">
        <f>[1]MainOverview!O27 &amp; ""</f>
        <v>5</v>
      </c>
      <c r="T17" t="str">
        <f>[1]MainOverview!P27 &amp; ""</f>
        <v>5</v>
      </c>
      <c r="U17" t="str">
        <f>[1]MainOverview!Q27 &amp; ""</f>
        <v>5</v>
      </c>
      <c r="V17" t="str">
        <f>IF(U17="", "", [1]MainOverview!P$10)</f>
        <v>Nm</v>
      </c>
      <c r="W17" t="str">
        <f>[1]MainOverview!S27 &amp; ""</f>
        <v>5</v>
      </c>
      <c r="X17" t="str">
        <f>[1]MainOverview!T27 &amp; ""</f>
        <v>5</v>
      </c>
      <c r="Y17" t="str">
        <f>[1]MainOverview!U27 &amp; ""</f>
        <v>5</v>
      </c>
      <c r="Z17" t="str">
        <f>IF(Y17="", "", [1]MainOverview!S$10)</f>
        <v>m3/min</v>
      </c>
    </row>
    <row r="18" spans="1:26" x14ac:dyDescent="0.45">
      <c r="A18" t="str">
        <f>[1]MainOverview!C28 &amp; ""</f>
        <v>5</v>
      </c>
      <c r="B18" t="str">
        <f>[1]MainOverview!D28 &amp; ""</f>
        <v>5</v>
      </c>
      <c r="C18" t="str">
        <f>IF(B18="", "", [1]MainOverview!C$10)</f>
        <v>meters</v>
      </c>
      <c r="D18" t="str">
        <f>[1]MainOverview!E28 &amp; ""</f>
        <v>5</v>
      </c>
      <c r="E18" t="str">
        <f>[1]MainOverview!F28 &amp; ""</f>
        <v>5</v>
      </c>
      <c r="F18" t="str">
        <f>IF(E18="", "", [1]MainOverview!E$10)</f>
        <v>feet</v>
      </c>
      <c r="G18" t="str">
        <f>[1]MainOverview!G28 &amp; ""</f>
        <v>5</v>
      </c>
      <c r="H18" t="str">
        <f>[1]MainOverview!H28 &amp; ""</f>
        <v>5</v>
      </c>
      <c r="I18" t="str">
        <f>[1]MainOverview!I28 &amp; ""</f>
        <v>5</v>
      </c>
      <c r="J18" t="str">
        <f>IF(I18="", "", [1]MainOverview!G$10)</f>
        <v>lbs</v>
      </c>
      <c r="K18" t="str">
        <f>[1]MainOverview!J28 &amp; ""</f>
        <v>5</v>
      </c>
      <c r="L18" t="str">
        <f>[1]MainOverview!K28 &amp; ""</f>
        <v>5</v>
      </c>
      <c r="M18" t="str">
        <f>[1]MainOverview!L28 &amp; ""</f>
        <v>5</v>
      </c>
      <c r="N18" t="str">
        <f>IF(M18="", "", [1]MainOverview!J$10)</f>
        <v>rpm</v>
      </c>
      <c r="O18" t="str">
        <f>[1]MainOverview!M28 &amp; ""</f>
        <v>5</v>
      </c>
      <c r="P18" t="str">
        <f>[1]MainOverview!N28 &amp; ""</f>
        <v>5</v>
      </c>
      <c r="Q18" t="str">
        <f>[1]MainOverview!O28 &amp; ""</f>
        <v>5</v>
      </c>
      <c r="R18" t="str">
        <f>[1]MainOverview!T28 &amp; ""</f>
        <v>5</v>
      </c>
      <c r="S18" t="str">
        <f>[1]MainOverview!O28 &amp; ""</f>
        <v>5</v>
      </c>
      <c r="T18" t="str">
        <f>[1]MainOverview!P28 &amp; ""</f>
        <v>5</v>
      </c>
      <c r="U18" t="str">
        <f>[1]MainOverview!Q28 &amp; ""</f>
        <v>5</v>
      </c>
      <c r="V18" t="str">
        <f>IF(U18="", "", [1]MainOverview!P$10)</f>
        <v>Nm</v>
      </c>
      <c r="W18" t="str">
        <f>[1]MainOverview!S28 &amp; ""</f>
        <v>5</v>
      </c>
      <c r="X18" t="str">
        <f>[1]MainOverview!T28 &amp; ""</f>
        <v>5</v>
      </c>
      <c r="Y18" t="str">
        <f>[1]MainOverview!U28 &amp; ""</f>
        <v>5</v>
      </c>
      <c r="Z18" t="str">
        <f>IF(Y18="", "", [1]MainOverview!S$10)</f>
        <v>m3/min</v>
      </c>
    </row>
    <row r="19" spans="1:26" x14ac:dyDescent="0.45">
      <c r="A19" t="str">
        <f>[1]MainOverview!C29 &amp; ""</f>
        <v>5</v>
      </c>
      <c r="B19" t="str">
        <f>[1]MainOverview!D29 &amp; ""</f>
        <v>5</v>
      </c>
      <c r="C19" t="str">
        <f>IF(B19="", "", [1]MainOverview!C$10)</f>
        <v>meters</v>
      </c>
      <c r="D19" t="str">
        <f>[1]MainOverview!E29 &amp; ""</f>
        <v>5</v>
      </c>
      <c r="E19" t="str">
        <f>[1]MainOverview!F29 &amp; ""</f>
        <v>5</v>
      </c>
      <c r="F19" t="str">
        <f>IF(E19="", "", [1]MainOverview!E$10)</f>
        <v>feet</v>
      </c>
      <c r="G19" t="str">
        <f>[1]MainOverview!G29 &amp; ""</f>
        <v>5</v>
      </c>
      <c r="H19" t="str">
        <f>[1]MainOverview!H29 &amp; ""</f>
        <v>5</v>
      </c>
      <c r="I19" t="str">
        <f>[1]MainOverview!I29 &amp; ""</f>
        <v>5</v>
      </c>
      <c r="J19" t="str">
        <f>IF(I19="", "", [1]MainOverview!G$10)</f>
        <v>lbs</v>
      </c>
      <c r="K19" t="str">
        <f>[1]MainOverview!J29 &amp; ""</f>
        <v>5</v>
      </c>
      <c r="L19" t="str">
        <f>[1]MainOverview!K29 &amp; ""</f>
        <v>5</v>
      </c>
      <c r="M19" t="str">
        <f>[1]MainOverview!L29 &amp; ""</f>
        <v>5</v>
      </c>
      <c r="N19" t="str">
        <f>IF(M19="", "", [1]MainOverview!J$10)</f>
        <v>rpm</v>
      </c>
      <c r="O19" t="str">
        <f>[1]MainOverview!M29 &amp; ""</f>
        <v>5</v>
      </c>
      <c r="P19" t="str">
        <f>[1]MainOverview!N29 &amp; ""</f>
        <v>5</v>
      </c>
      <c r="Q19" t="str">
        <f>[1]MainOverview!O29 &amp; ""</f>
        <v>5</v>
      </c>
      <c r="R19" t="str">
        <f>[1]MainOverview!T29 &amp; ""</f>
        <v>5</v>
      </c>
      <c r="S19" t="str">
        <f>[1]MainOverview!O29 &amp; ""</f>
        <v>5</v>
      </c>
      <c r="T19" t="str">
        <f>[1]MainOverview!P29 &amp; ""</f>
        <v>5</v>
      </c>
      <c r="U19" t="str">
        <f>[1]MainOverview!Q29 &amp; ""</f>
        <v>5</v>
      </c>
      <c r="V19" t="str">
        <f>IF(U19="", "", [1]MainOverview!P$10)</f>
        <v>Nm</v>
      </c>
      <c r="W19" t="str">
        <f>[1]MainOverview!S29 &amp; ""</f>
        <v>5</v>
      </c>
      <c r="X19" t="str">
        <f>[1]MainOverview!T29 &amp; ""</f>
        <v>5</v>
      </c>
      <c r="Y19" t="str">
        <f>[1]MainOverview!U29 &amp; ""</f>
        <v>5</v>
      </c>
      <c r="Z19" t="str">
        <f>IF(Y19="", "", [1]MainOverview!S$10)</f>
        <v>m3/min</v>
      </c>
    </row>
    <row r="20" spans="1:26" x14ac:dyDescent="0.45">
      <c r="A20" t="str">
        <f>[1]MainOverview!C30 &amp; ""</f>
        <v>5</v>
      </c>
      <c r="B20" t="str">
        <f>[1]MainOverview!D30 &amp; ""</f>
        <v>5</v>
      </c>
      <c r="C20" t="str">
        <f>IF(B20="", "", [1]MainOverview!C$10)</f>
        <v>meters</v>
      </c>
      <c r="D20" t="str">
        <f>[1]MainOverview!E30 &amp; ""</f>
        <v>5</v>
      </c>
      <c r="E20" t="str">
        <f>[1]MainOverview!F30 &amp; ""</f>
        <v>5</v>
      </c>
      <c r="F20" t="str">
        <f>IF(E20="", "", [1]MainOverview!E$10)</f>
        <v>feet</v>
      </c>
      <c r="G20" t="str">
        <f>[1]MainOverview!G30 &amp; ""</f>
        <v>5</v>
      </c>
      <c r="H20" t="str">
        <f>[1]MainOverview!H30 &amp; ""</f>
        <v>5</v>
      </c>
      <c r="I20" t="str">
        <f>[1]MainOverview!I30 &amp; ""</f>
        <v>5</v>
      </c>
      <c r="J20" t="str">
        <f>IF(I20="", "", [1]MainOverview!G$10)</f>
        <v>lbs</v>
      </c>
      <c r="K20" t="str">
        <f>[1]MainOverview!J30 &amp; ""</f>
        <v>5</v>
      </c>
      <c r="L20" t="str">
        <f>[1]MainOverview!K30 &amp; ""</f>
        <v>5</v>
      </c>
      <c r="M20" t="str">
        <f>[1]MainOverview!L30 &amp; ""</f>
        <v>5</v>
      </c>
      <c r="N20" t="str">
        <f>IF(M20="", "", [1]MainOverview!J$10)</f>
        <v>rpm</v>
      </c>
      <c r="O20" t="str">
        <f>[1]MainOverview!M30 &amp; ""</f>
        <v>5</v>
      </c>
      <c r="P20" t="str">
        <f>[1]MainOverview!N30 &amp; ""</f>
        <v>5</v>
      </c>
      <c r="Q20" t="str">
        <f>[1]MainOverview!O30 &amp; ""</f>
        <v>5</v>
      </c>
      <c r="R20" t="str">
        <f>[1]MainOverview!T30 &amp; ""</f>
        <v>5</v>
      </c>
      <c r="S20" t="str">
        <f>[1]MainOverview!O30 &amp; ""</f>
        <v>5</v>
      </c>
      <c r="T20" t="str">
        <f>[1]MainOverview!P30 &amp; ""</f>
        <v>5</v>
      </c>
      <c r="U20" t="str">
        <f>[1]MainOverview!Q30 &amp; ""</f>
        <v>5</v>
      </c>
      <c r="V20" t="str">
        <f>IF(U20="", "", [1]MainOverview!P$10)</f>
        <v>Nm</v>
      </c>
      <c r="W20" t="str">
        <f>[1]MainOverview!S30 &amp; ""</f>
        <v>5</v>
      </c>
      <c r="X20" t="str">
        <f>[1]MainOverview!T30 &amp; ""</f>
        <v>5</v>
      </c>
      <c r="Y20" t="str">
        <f>[1]MainOverview!U30 &amp; ""</f>
        <v>5</v>
      </c>
      <c r="Z20" t="str">
        <f>IF(Y20="", "", [1]MainOverview!S$10)</f>
        <v>m3/min</v>
      </c>
    </row>
    <row r="21" spans="1:26" x14ac:dyDescent="0.45">
      <c r="A21" t="str">
        <f>[1]MainOverview!C31 &amp; ""</f>
        <v>5</v>
      </c>
      <c r="B21" t="str">
        <f>[1]MainOverview!D31 &amp; ""</f>
        <v>5</v>
      </c>
      <c r="C21" t="str">
        <f>IF(B21="", "", [1]MainOverview!C$10)</f>
        <v>meters</v>
      </c>
      <c r="D21" t="str">
        <f>[1]MainOverview!E31 &amp; ""</f>
        <v>5</v>
      </c>
      <c r="E21" t="str">
        <f>[1]MainOverview!F31 &amp; ""</f>
        <v>5</v>
      </c>
      <c r="F21" t="str">
        <f>IF(E21="", "", [1]MainOverview!E$10)</f>
        <v>feet</v>
      </c>
      <c r="G21" t="str">
        <f>[1]MainOverview!G31 &amp; ""</f>
        <v>5</v>
      </c>
      <c r="H21" t="str">
        <f>[1]MainOverview!H31 &amp; ""</f>
        <v>5</v>
      </c>
      <c r="I21" t="str">
        <f>[1]MainOverview!I31 &amp; ""</f>
        <v>5</v>
      </c>
      <c r="J21" t="str">
        <f>IF(I21="", "", [1]MainOverview!G$10)</f>
        <v>lbs</v>
      </c>
      <c r="K21" t="str">
        <f>[1]MainOverview!J31 &amp; ""</f>
        <v>5</v>
      </c>
      <c r="L21" t="str">
        <f>[1]MainOverview!K31 &amp; ""</f>
        <v>5</v>
      </c>
      <c r="M21" t="str">
        <f>[1]MainOverview!L31 &amp; ""</f>
        <v>5</v>
      </c>
      <c r="N21" t="str">
        <f>IF(M21="", "", [1]MainOverview!J$10)</f>
        <v>rpm</v>
      </c>
      <c r="O21" t="str">
        <f>[1]MainOverview!M31 &amp; ""</f>
        <v>5</v>
      </c>
      <c r="P21" t="str">
        <f>[1]MainOverview!N31 &amp; ""</f>
        <v>5</v>
      </c>
      <c r="Q21" t="str">
        <f>[1]MainOverview!O31 &amp; ""</f>
        <v>5</v>
      </c>
      <c r="R21" t="str">
        <f>[1]MainOverview!T31 &amp; ""</f>
        <v>5</v>
      </c>
      <c r="S21" t="str">
        <f>[1]MainOverview!O31 &amp; ""</f>
        <v>5</v>
      </c>
      <c r="T21" t="str">
        <f>[1]MainOverview!P31 &amp; ""</f>
        <v>5</v>
      </c>
      <c r="U21" t="str">
        <f>[1]MainOverview!Q31 &amp; ""</f>
        <v>5</v>
      </c>
      <c r="V21" t="str">
        <f>IF(U21="", "", [1]MainOverview!P$10)</f>
        <v>Nm</v>
      </c>
      <c r="W21" t="str">
        <f>[1]MainOverview!S31 &amp; ""</f>
        <v>5</v>
      </c>
      <c r="X21" t="str">
        <f>[1]MainOverview!T31 &amp; ""</f>
        <v>5</v>
      </c>
      <c r="Y21" t="str">
        <f>[1]MainOverview!U31 &amp; ""</f>
        <v>5</v>
      </c>
      <c r="Z21" t="str">
        <f>IF(Y21="", "", [1]MainOverview!S$10)</f>
        <v>m3/min</v>
      </c>
    </row>
  </sheetData>
  <sheetProtection algorithmName="SHA-512" hashValue="NwMwUknw+eaxvMD47bQvQGOQy650KJyTxI62+V54WZGyZkYiNM6Bp8X0ZVU7eDp4LNl1BQ2tkIIT9VIA6GZ0GQ==" saltValue="RaiCxB40pOJ/c6qqk/QPGQ=="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083EF-1CCB-41F5-A1C1-576FBA686648}">
  <sheetPr codeName="Sheet9"/>
  <dimension ref="A1:H21"/>
  <sheetViews>
    <sheetView workbookViewId="0">
      <selection activeCell="F8" sqref="F8"/>
    </sheetView>
  </sheetViews>
  <sheetFormatPr defaultRowHeight="14.25" x14ac:dyDescent="0.45"/>
  <cols>
    <col min="1" max="1" width="18.86328125" customWidth="1"/>
    <col min="2" max="2" width="17.265625" customWidth="1"/>
    <col min="3" max="3" width="13.59765625" customWidth="1"/>
    <col min="4" max="4" width="17.1328125" customWidth="1"/>
    <col min="5" max="5" width="15" customWidth="1"/>
    <col min="6" max="6" width="13.59765625" customWidth="1"/>
    <col min="7" max="7" width="15.3984375" customWidth="1"/>
  </cols>
  <sheetData>
    <row r="1" spans="1:8" x14ac:dyDescent="0.45">
      <c r="A1" s="5" t="s">
        <v>154</v>
      </c>
      <c r="B1" s="5" t="s">
        <v>155</v>
      </c>
      <c r="C1" s="5" t="s">
        <v>2</v>
      </c>
      <c r="D1" s="5" t="s">
        <v>101</v>
      </c>
      <c r="E1" s="5" t="s">
        <v>99</v>
      </c>
      <c r="F1" s="5" t="s">
        <v>147</v>
      </c>
      <c r="G1" s="5" t="s">
        <v>156</v>
      </c>
      <c r="H1" s="5" t="s">
        <v>157</v>
      </c>
    </row>
    <row r="2" spans="1:8" x14ac:dyDescent="0.45">
      <c r="A2" t="str">
        <f>[1]MainOverview!C39 &amp; ""</f>
        <v>2500</v>
      </c>
      <c r="B2" t="str">
        <f>[1]MainOverview!D39 &amp; ""</f>
        <v>5</v>
      </c>
      <c r="C2" t="str">
        <f>IF(A2="", "", [1]MainOverview!C$37)</f>
        <v>feet</v>
      </c>
      <c r="D2" t="str">
        <f>[1]MainOverview!E39 &amp; ""</f>
        <v>5</v>
      </c>
      <c r="E2" t="str">
        <f>[1]MainOverview!F39 &amp; ""</f>
        <v>5</v>
      </c>
      <c r="F2" t="str">
        <f>IF(D2="", "", [1]MainOverview!E$37)</f>
        <v>feet</v>
      </c>
      <c r="G2" t="str">
        <f>[1]MainOverview!G39 &amp; ""</f>
        <v/>
      </c>
      <c r="H2" t="str">
        <f>[1]MainOverview!H39 &amp; ""</f>
        <v/>
      </c>
    </row>
    <row r="3" spans="1:8" x14ac:dyDescent="0.45">
      <c r="A3" t="str">
        <f>[1]MainOverview!C40 &amp; ""</f>
        <v>5</v>
      </c>
      <c r="B3" t="str">
        <f>[1]MainOverview!D40 &amp; ""</f>
        <v>5</v>
      </c>
      <c r="C3" t="str">
        <f>IF(A3="", "", [1]MainOverview!C$37)</f>
        <v>feet</v>
      </c>
      <c r="D3" t="str">
        <f>[1]MainOverview!E40 &amp; ""</f>
        <v>5</v>
      </c>
      <c r="E3" t="str">
        <f>[1]MainOverview!F40 &amp; ""</f>
        <v>5</v>
      </c>
      <c r="F3" t="str">
        <f>IF(D3="", "", [1]MainOverview!E$37)</f>
        <v>feet</v>
      </c>
      <c r="G3" t="str">
        <f>[1]MainOverview!G40 &amp; ""</f>
        <v/>
      </c>
      <c r="H3" t="str">
        <f>[1]MainOverview!H40 &amp; ""</f>
        <v/>
      </c>
    </row>
    <row r="4" spans="1:8" x14ac:dyDescent="0.45">
      <c r="A4" t="str">
        <f>[1]MainOverview!C41 &amp; ""</f>
        <v>5</v>
      </c>
      <c r="B4" t="str">
        <f>[1]MainOverview!D41 &amp; ""</f>
        <v>5</v>
      </c>
      <c r="C4" t="str">
        <f>IF(A4="", "", [1]MainOverview!C$37)</f>
        <v>feet</v>
      </c>
      <c r="D4" t="str">
        <f>[1]MainOverview!E41 &amp; ""</f>
        <v>5</v>
      </c>
      <c r="E4" t="str">
        <f>[1]MainOverview!F41 &amp; ""</f>
        <v>5</v>
      </c>
      <c r="F4" t="str">
        <f>IF(D4="", "", [1]MainOverview!E$37)</f>
        <v>feet</v>
      </c>
      <c r="G4" t="str">
        <f>[1]MainOverview!G41 &amp; ""</f>
        <v/>
      </c>
      <c r="H4" t="str">
        <f>[1]MainOverview!H41 &amp; ""</f>
        <v/>
      </c>
    </row>
    <row r="5" spans="1:8" x14ac:dyDescent="0.45">
      <c r="A5" t="str">
        <f>[1]MainOverview!C42 &amp; ""</f>
        <v>5</v>
      </c>
      <c r="B5" t="str">
        <f>[1]MainOverview!D42 &amp; ""</f>
        <v>5</v>
      </c>
      <c r="C5" t="str">
        <f>IF(A5="", "", [1]MainOverview!C$37)</f>
        <v>feet</v>
      </c>
      <c r="D5" t="str">
        <f>[1]MainOverview!E42 &amp; ""</f>
        <v>5</v>
      </c>
      <c r="E5" t="str">
        <f>[1]MainOverview!F42 &amp; ""</f>
        <v>5</v>
      </c>
      <c r="F5" t="str">
        <f>IF(D5="", "", [1]MainOverview!E$37)</f>
        <v>feet</v>
      </c>
      <c r="G5" t="str">
        <f>[1]MainOverview!G42 &amp; ""</f>
        <v/>
      </c>
      <c r="H5" t="str">
        <f>[1]MainOverview!H42 &amp; ""</f>
        <v/>
      </c>
    </row>
    <row r="6" spans="1:8" x14ac:dyDescent="0.45">
      <c r="A6" t="str">
        <f>[1]MainOverview!C43 &amp; ""</f>
        <v>5</v>
      </c>
      <c r="B6" t="str">
        <f>[1]MainOverview!D43 &amp; ""</f>
        <v>6</v>
      </c>
      <c r="C6" t="str">
        <f>IF(A6="", "", [1]MainOverview!C$37)</f>
        <v>feet</v>
      </c>
      <c r="D6" t="str">
        <f>[1]MainOverview!E43 &amp; ""</f>
        <v>5</v>
      </c>
      <c r="E6" t="str">
        <f>[1]MainOverview!F43 &amp; ""</f>
        <v>5</v>
      </c>
      <c r="F6" t="str">
        <f>IF(D6="", "", [1]MainOverview!E$37)</f>
        <v>feet</v>
      </c>
      <c r="G6" t="str">
        <f>[1]MainOverview!G43 &amp; ""</f>
        <v/>
      </c>
      <c r="H6" t="str">
        <f>[1]MainOverview!H43 &amp; ""</f>
        <v/>
      </c>
    </row>
    <row r="7" spans="1:8" x14ac:dyDescent="0.45">
      <c r="A7" t="str">
        <f>[1]MainOverview!C44 &amp; ""</f>
        <v>6</v>
      </c>
      <c r="B7" t="str">
        <f>[1]MainOverview!D44 &amp; ""</f>
        <v>5</v>
      </c>
      <c r="C7" t="str">
        <f>IF(A7="", "", [1]MainOverview!C$37)</f>
        <v>feet</v>
      </c>
      <c r="D7" t="str">
        <f>[1]MainOverview!E44 &amp; ""</f>
        <v>5</v>
      </c>
      <c r="E7" t="str">
        <f>[1]MainOverview!F44 &amp; ""</f>
        <v>5</v>
      </c>
      <c r="F7" t="str">
        <f>IF(D7="", "", [1]MainOverview!E$37)</f>
        <v>feet</v>
      </c>
      <c r="G7" t="str">
        <f>[1]MainOverview!G44 &amp; ""</f>
        <v/>
      </c>
      <c r="H7" t="str">
        <f>[1]MainOverview!H44 &amp; ""</f>
        <v/>
      </c>
    </row>
    <row r="8" spans="1:8" x14ac:dyDescent="0.45">
      <c r="A8" t="str">
        <f>[1]MainOverview!C45 &amp; ""</f>
        <v>5</v>
      </c>
      <c r="B8" t="str">
        <f>[1]MainOverview!D45 &amp; ""</f>
        <v>5</v>
      </c>
      <c r="C8" t="str">
        <f>IF(A8="", "", [1]MainOverview!C$37)</f>
        <v>feet</v>
      </c>
      <c r="D8" t="str">
        <f>[1]MainOverview!E45 &amp; ""</f>
        <v>5</v>
      </c>
      <c r="E8" t="str">
        <f>[1]MainOverview!F45 &amp; ""</f>
        <v>5</v>
      </c>
      <c r="F8" t="str">
        <f>IF(D8="", "", [1]MainOverview!E$37)</f>
        <v>feet</v>
      </c>
      <c r="G8" t="str">
        <f>[1]MainOverview!G45 &amp; ""</f>
        <v/>
      </c>
      <c r="H8" t="str">
        <f>[1]MainOverview!H45 &amp; ""</f>
        <v/>
      </c>
    </row>
    <row r="9" spans="1:8" x14ac:dyDescent="0.45">
      <c r="A9" t="str">
        <f>[1]MainOverview!C46 &amp; ""</f>
        <v>5</v>
      </c>
      <c r="B9" t="str">
        <f>[1]MainOverview!D46 &amp; ""</f>
        <v>5</v>
      </c>
      <c r="C9" t="str">
        <f>IF(A9="", "", [1]MainOverview!C$37)</f>
        <v>feet</v>
      </c>
      <c r="D9" t="str">
        <f>[1]MainOverview!E46 &amp; ""</f>
        <v>5</v>
      </c>
      <c r="E9" t="str">
        <f>[1]MainOverview!F46 &amp; ""</f>
        <v>5</v>
      </c>
      <c r="F9" t="str">
        <f>IF(D9="", "", [1]MainOverview!E$37)</f>
        <v>feet</v>
      </c>
      <c r="G9" t="str">
        <f>[1]MainOverview!G46 &amp; ""</f>
        <v/>
      </c>
      <c r="H9" t="str">
        <f>[1]MainOverview!H46 &amp; ""</f>
        <v/>
      </c>
    </row>
    <row r="10" spans="1:8" x14ac:dyDescent="0.45">
      <c r="A10" t="str">
        <f>[1]MainOverview!C47 &amp; ""</f>
        <v>5</v>
      </c>
      <c r="B10" t="str">
        <f>[1]MainOverview!D47 &amp; ""</f>
        <v>5</v>
      </c>
      <c r="C10" t="str">
        <f>IF(A10="", "", [1]MainOverview!C$37)</f>
        <v>feet</v>
      </c>
      <c r="D10" t="str">
        <f>[1]MainOverview!E47 &amp; ""</f>
        <v>5</v>
      </c>
      <c r="E10" t="str">
        <f>[1]MainOverview!F47 &amp; ""</f>
        <v>5</v>
      </c>
      <c r="F10" t="str">
        <f>IF(D10="", "", [1]MainOverview!E$37)</f>
        <v>feet</v>
      </c>
      <c r="G10" t="str">
        <f>[1]MainOverview!G47 &amp; ""</f>
        <v/>
      </c>
      <c r="H10" t="str">
        <f>[1]MainOverview!H47 &amp; ""</f>
        <v/>
      </c>
    </row>
    <row r="11" spans="1:8" x14ac:dyDescent="0.45">
      <c r="A11" t="str">
        <f>[1]MainOverview!C48 &amp; ""</f>
        <v>5</v>
      </c>
      <c r="B11" t="str">
        <f>[1]MainOverview!D48 &amp; ""</f>
        <v>5</v>
      </c>
      <c r="C11" t="str">
        <f>IF(A11="", "", [1]MainOverview!C$37)</f>
        <v>feet</v>
      </c>
      <c r="D11" t="str">
        <f>[1]MainOverview!E48 &amp; ""</f>
        <v>5</v>
      </c>
      <c r="E11" t="str">
        <f>[1]MainOverview!F48 &amp; ""</f>
        <v>5</v>
      </c>
      <c r="F11" t="str">
        <f>IF(D11="", "", [1]MainOverview!E$37)</f>
        <v>feet</v>
      </c>
      <c r="G11" t="str">
        <f>[1]MainOverview!G48 &amp; ""</f>
        <v/>
      </c>
      <c r="H11" t="str">
        <f>[1]MainOverview!H48 &amp; ""</f>
        <v/>
      </c>
    </row>
    <row r="12" spans="1:8" x14ac:dyDescent="0.45">
      <c r="A12" t="str">
        <f>[1]MainOverview!C49 &amp; ""</f>
        <v>5</v>
      </c>
      <c r="B12" t="str">
        <f>[1]MainOverview!D49 &amp; ""</f>
        <v>5</v>
      </c>
      <c r="C12" t="str">
        <f>IF(A12="", "", [1]MainOverview!C$37)</f>
        <v>feet</v>
      </c>
      <c r="D12" t="str">
        <f>[1]MainOverview!E49 &amp; ""</f>
        <v>5</v>
      </c>
      <c r="E12" t="str">
        <f>[1]MainOverview!F49 &amp; ""</f>
        <v>5</v>
      </c>
      <c r="F12" t="str">
        <f>IF(D12="", "", [1]MainOverview!E$37)</f>
        <v>feet</v>
      </c>
      <c r="G12" t="str">
        <f>[1]MainOverview!G49 &amp; ""</f>
        <v/>
      </c>
      <c r="H12" t="str">
        <f>[1]MainOverview!H49 &amp; ""</f>
        <v/>
      </c>
    </row>
    <row r="13" spans="1:8" x14ac:dyDescent="0.45">
      <c r="A13" t="str">
        <f>[1]MainOverview!C50 &amp; ""</f>
        <v>5</v>
      </c>
      <c r="B13" t="str">
        <f>[1]MainOverview!D50 &amp; ""</f>
        <v>5</v>
      </c>
      <c r="C13" t="str">
        <f>IF(A13="", "", [1]MainOverview!C$37)</f>
        <v>feet</v>
      </c>
      <c r="D13" t="str">
        <f>[1]MainOverview!E50 &amp; ""</f>
        <v>5</v>
      </c>
      <c r="E13" t="str">
        <f>[1]MainOverview!F50 &amp; ""</f>
        <v>5</v>
      </c>
      <c r="F13" t="str">
        <f>IF(D13="", "", [1]MainOverview!E$37)</f>
        <v>feet</v>
      </c>
      <c r="G13" t="str">
        <f>[1]MainOverview!G50 &amp; ""</f>
        <v/>
      </c>
      <c r="H13" t="str">
        <f>[1]MainOverview!H50 &amp; ""</f>
        <v/>
      </c>
    </row>
    <row r="14" spans="1:8" x14ac:dyDescent="0.45">
      <c r="A14" t="str">
        <f>[1]MainOverview!C51 &amp; ""</f>
        <v>5</v>
      </c>
      <c r="B14" t="str">
        <f>[1]MainOverview!D51 &amp; ""</f>
        <v>5</v>
      </c>
      <c r="C14" t="str">
        <f>IF(A14="", "", [1]MainOverview!C$37)</f>
        <v>feet</v>
      </c>
      <c r="D14" t="str">
        <f>[1]MainOverview!E51 &amp; ""</f>
        <v>5</v>
      </c>
      <c r="E14" t="str">
        <f>[1]MainOverview!F51 &amp; ""</f>
        <v>5</v>
      </c>
      <c r="F14" t="str">
        <f>IF(D14="", "", [1]MainOverview!E$37)</f>
        <v>feet</v>
      </c>
      <c r="G14" t="str">
        <f>[1]MainOverview!G51 &amp; ""</f>
        <v/>
      </c>
      <c r="H14" t="str">
        <f>[1]MainOverview!H51 &amp; ""</f>
        <v/>
      </c>
    </row>
    <row r="15" spans="1:8" x14ac:dyDescent="0.45">
      <c r="A15" t="str">
        <f>[1]MainOverview!C52 &amp; ""</f>
        <v>5</v>
      </c>
      <c r="B15" t="str">
        <f>[1]MainOverview!D52 &amp; ""</f>
        <v>5</v>
      </c>
      <c r="C15" t="str">
        <f>IF(A15="", "", [1]MainOverview!C$37)</f>
        <v>feet</v>
      </c>
      <c r="D15" t="str">
        <f>[1]MainOverview!E52 &amp; ""</f>
        <v>5</v>
      </c>
      <c r="E15" t="str">
        <f>[1]MainOverview!F52 &amp; ""</f>
        <v>5</v>
      </c>
      <c r="F15" t="str">
        <f>IF(D15="", "", [1]MainOverview!E$37)</f>
        <v>feet</v>
      </c>
      <c r="G15" t="str">
        <f>[1]MainOverview!G52 &amp; ""</f>
        <v/>
      </c>
      <c r="H15" t="str">
        <f>[1]MainOverview!H52 &amp; ""</f>
        <v/>
      </c>
    </row>
    <row r="16" spans="1:8" x14ac:dyDescent="0.45">
      <c r="A16" t="str">
        <f>[1]MainOverview!C53 &amp; ""</f>
        <v>5</v>
      </c>
      <c r="B16" t="str">
        <f>[1]MainOverview!D53 &amp; ""</f>
        <v>55</v>
      </c>
      <c r="C16" t="str">
        <f>IF(A16="", "", [1]MainOverview!C$37)</f>
        <v>feet</v>
      </c>
      <c r="D16" t="str">
        <f>[1]MainOverview!E53 &amp; ""</f>
        <v>5</v>
      </c>
      <c r="E16" t="str">
        <f>[1]MainOverview!F53 &amp; ""</f>
        <v>5</v>
      </c>
      <c r="F16" t="str">
        <f>IF(D16="", "", [1]MainOverview!E$37)</f>
        <v>feet</v>
      </c>
      <c r="G16" t="str">
        <f>[1]MainOverview!G53 &amp; ""</f>
        <v/>
      </c>
      <c r="H16" t="str">
        <f>[1]MainOverview!H53 &amp; ""</f>
        <v/>
      </c>
    </row>
    <row r="17" spans="1:8" x14ac:dyDescent="0.45">
      <c r="A17" t="str">
        <f>[1]MainOverview!C54 &amp; ""</f>
        <v>55</v>
      </c>
      <c r="B17" t="str">
        <f>[1]MainOverview!D54 &amp; ""</f>
        <v>5</v>
      </c>
      <c r="C17" t="str">
        <f>IF(A17="", "", [1]MainOverview!C$37)</f>
        <v>feet</v>
      </c>
      <c r="D17" t="str">
        <f>[1]MainOverview!E54 &amp; ""</f>
        <v>5</v>
      </c>
      <c r="E17" t="str">
        <f>[1]MainOverview!F54 &amp; ""</f>
        <v>5</v>
      </c>
      <c r="F17" t="str">
        <f>IF(D17="", "", [1]MainOverview!E$37)</f>
        <v>feet</v>
      </c>
      <c r="G17" t="str">
        <f>[1]MainOverview!G54 &amp; ""</f>
        <v/>
      </c>
      <c r="H17" t="str">
        <f>[1]MainOverview!H54 &amp; ""</f>
        <v/>
      </c>
    </row>
    <row r="18" spans="1:8" x14ac:dyDescent="0.45">
      <c r="A18" t="str">
        <f>[1]MainOverview!C55 &amp; ""</f>
        <v>5</v>
      </c>
      <c r="B18" t="str">
        <f>[1]MainOverview!D55 &amp; ""</f>
        <v>5</v>
      </c>
      <c r="C18" t="str">
        <f>IF(A18="", "", [1]MainOverview!C$37)</f>
        <v>feet</v>
      </c>
      <c r="D18" t="str">
        <f>[1]MainOverview!E55 &amp; ""</f>
        <v>5</v>
      </c>
      <c r="E18" t="str">
        <f>[1]MainOverview!F55 &amp; ""</f>
        <v>5</v>
      </c>
      <c r="F18" t="str">
        <f>IF(D18="", "", [1]MainOverview!E$37)</f>
        <v>feet</v>
      </c>
      <c r="G18" t="str">
        <f>[1]MainOverview!G55 &amp; ""</f>
        <v/>
      </c>
      <c r="H18" t="str">
        <f>[1]MainOverview!H55 &amp; ""</f>
        <v/>
      </c>
    </row>
    <row r="19" spans="1:8" x14ac:dyDescent="0.45">
      <c r="A19" t="str">
        <f>[1]MainOverview!C56 &amp; ""</f>
        <v>5</v>
      </c>
      <c r="B19" t="str">
        <f>[1]MainOverview!D56 &amp; ""</f>
        <v>5</v>
      </c>
      <c r="C19" t="str">
        <f>IF(A19="", "", [1]MainOverview!C$37)</f>
        <v>feet</v>
      </c>
      <c r="D19" t="str">
        <f>[1]MainOverview!E56 &amp; ""</f>
        <v>5</v>
      </c>
      <c r="E19" t="str">
        <f>[1]MainOverview!F56 &amp; ""</f>
        <v>5</v>
      </c>
      <c r="F19" t="str">
        <f>IF(D19="", "", [1]MainOverview!E$37)</f>
        <v>feet</v>
      </c>
      <c r="G19" t="str">
        <f>[1]MainOverview!G56 &amp; ""</f>
        <v/>
      </c>
      <c r="H19" t="str">
        <f>[1]MainOverview!H56 &amp; ""</f>
        <v/>
      </c>
    </row>
    <row r="20" spans="1:8" x14ac:dyDescent="0.45">
      <c r="A20" t="str">
        <f>[1]MainOverview!C57 &amp; ""</f>
        <v>5</v>
      </c>
      <c r="B20" t="str">
        <f>[1]MainOverview!D57 &amp; ""</f>
        <v>5</v>
      </c>
      <c r="C20" t="str">
        <f>IF(A20="", "", [1]MainOverview!C$37)</f>
        <v>feet</v>
      </c>
      <c r="D20" t="str">
        <f>[1]MainOverview!E57 &amp; ""</f>
        <v>5</v>
      </c>
      <c r="E20" t="str">
        <f>[1]MainOverview!F57 &amp; ""</f>
        <v>5</v>
      </c>
      <c r="F20" t="str">
        <f>IF(D20="", "", [1]MainOverview!E$37)</f>
        <v>feet</v>
      </c>
      <c r="G20" t="str">
        <f>[1]MainOverview!G57 &amp; ""</f>
        <v/>
      </c>
      <c r="H20" t="str">
        <f>[1]MainOverview!H57 &amp; ""</f>
        <v/>
      </c>
    </row>
    <row r="21" spans="1:8" x14ac:dyDescent="0.45">
      <c r="A21" t="str">
        <f>[1]MainOverview!C58 &amp; ""</f>
        <v>5</v>
      </c>
      <c r="B21" t="str">
        <f>[1]MainOverview!D58 &amp; ""</f>
        <v/>
      </c>
      <c r="C21" t="str">
        <f>IF(A21="", "", [1]MainOverview!C$37)</f>
        <v>feet</v>
      </c>
      <c r="D21" t="str">
        <f>[1]MainOverview!E58 &amp; ""</f>
        <v>5</v>
      </c>
      <c r="E21" t="str">
        <f>[1]MainOverview!F58 &amp; ""</f>
        <v/>
      </c>
      <c r="F21" t="str">
        <f>IF(D21="", "", [1]MainOverview!E$37)</f>
        <v>feet</v>
      </c>
      <c r="G21" t="str">
        <f>[1]MainOverview!G58 &amp; ""</f>
        <v/>
      </c>
      <c r="H21" t="str">
        <f>[1]MainOverview!H58 &amp; ""</f>
        <v/>
      </c>
    </row>
  </sheetData>
  <sheetProtection algorithmName="SHA-512" hashValue="jKJGnseLlsYKwzIM8QjclgfQGWroy2SfPdQVtFvfEI/7miFgKdD+Ezk3z73DK4KkxgXwn40VWaK2QM90M7QSHQ==" saltValue="0j/qr6nMk5Wkb8BtofFBdA=="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782fcca-58a6-4465-b4fe-cc92e90816b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54EC0E61C2768469860DF1EF6F12479" ma:contentTypeVersion="13" ma:contentTypeDescription="Create a new document." ma:contentTypeScope="" ma:versionID="33eba1704e72e91f9b72295c39b566f0">
  <xsd:schema xmlns:xsd="http://www.w3.org/2001/XMLSchema" xmlns:xs="http://www.w3.org/2001/XMLSchema" xmlns:p="http://schemas.microsoft.com/office/2006/metadata/properties" xmlns:ns3="a782fcca-58a6-4465-b4fe-cc92e90816b8" xmlns:ns4="e9ac11e8-c688-4a3d-8514-104d859a2e3e" targetNamespace="http://schemas.microsoft.com/office/2006/metadata/properties" ma:root="true" ma:fieldsID="263265ad930cee174ae375a40f152baf" ns3:_="" ns4:_="">
    <xsd:import namespace="a782fcca-58a6-4465-b4fe-cc92e90816b8"/>
    <xsd:import namespace="e9ac11e8-c688-4a3d-8514-104d859a2e3e"/>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element ref="ns3:MediaServiceAutoTags" minOccurs="0"/>
                <xsd:element ref="ns3:MediaLengthInSeconds" minOccurs="0"/>
                <xsd:element ref="ns3:MediaServiceObjectDetectorVersion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82fcca-58a6-4465-b4fe-cc92e90816b8"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9ac11e8-c688-4a3d-8514-104d859a2e3e"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229C345-A448-4F56-B89F-41C93C85D6A6}">
  <ds:schemaRefs>
    <ds:schemaRef ds:uri="e9ac11e8-c688-4a3d-8514-104d859a2e3e"/>
    <ds:schemaRef ds:uri="http://purl.org/dc/elements/1.1/"/>
    <ds:schemaRef ds:uri="http://schemas.microsoft.com/office/2006/documentManagement/types"/>
    <ds:schemaRef ds:uri="http://schemas.openxmlformats.org/package/2006/metadata/core-properties"/>
    <ds:schemaRef ds:uri="http://purl.org/dc/terms/"/>
    <ds:schemaRef ds:uri="a782fcca-58a6-4465-b4fe-cc92e90816b8"/>
    <ds:schemaRef ds:uri="http://schemas.microsoft.com/office/infopath/2007/PartnerControl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B41401AF-CCBB-4621-98A0-3406A751BAC9}">
  <ds:schemaRefs>
    <ds:schemaRef ds:uri="http://schemas.microsoft.com/sharepoint/v3/contenttype/forms"/>
  </ds:schemaRefs>
</ds:datastoreItem>
</file>

<file path=customXml/itemProps3.xml><?xml version="1.0" encoding="utf-8"?>
<ds:datastoreItem xmlns:ds="http://schemas.openxmlformats.org/officeDocument/2006/customXml" ds:itemID="{E35CE4EC-1205-45AF-99D0-FE8B606A3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82fcca-58a6-4465-b4fe-cc92e90816b8"/>
    <ds:schemaRef ds:uri="e9ac11e8-c688-4a3d-8514-104d859a2e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MainOverview</vt:lpstr>
      <vt:lpstr>Definitions</vt:lpstr>
      <vt:lpstr>OWell</vt:lpstr>
      <vt:lpstr>ODrilling plan Paramaters</vt:lpstr>
      <vt:lpstr>OWellbore</vt:lpstr>
    </vt:vector>
  </TitlesOfParts>
  <Manager/>
  <Company>Ensign Energy Services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Nickolas Brown</dc:creator>
  <cp:keywords/>
  <dc:description/>
  <cp:lastModifiedBy>Nathan Zenero</cp:lastModifiedBy>
  <cp:revision/>
  <dcterms:created xsi:type="dcterms:W3CDTF">2023-08-07T18:21:00Z</dcterms:created>
  <dcterms:modified xsi:type="dcterms:W3CDTF">2023-09-18T01:41:53Z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0x010100854EC0E61C2768469860DF1EF6F12479</vt:lpwstr>
  </property>
</Properties>
</file>